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 activeTab="0"/>
  </bookViews>
  <sheets>
    <sheet name="2026.7（全部部门）" sheetId="57" r:id="rId1"/>
  </sheets>
  <definedNames>
    <definedName name="_xlnm.Print_Area" localSheetId="0">'2026.7（全部部门）'!$A$10:$BF$41</definedName>
    <definedName name="_xlnm.Print_Titles" localSheetId="0">'2026.7（全部部门）'!$10:$13</definedName>
    <definedName name="_xlnm._FilterDatabase" localSheetId="0" hidden="1">'2026.7（全部部门）'!$A$11:$BC$41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<sst xmlns="http://schemas.openxmlformats.org/spreadsheetml/2006/main" count="1376" uniqueCount="185">
  <si>
    <t>益雍君工作人员2026年1月份加班明细</t>
  </si>
  <si>
    <t>序号</t>
  </si>
  <si>
    <t>岗位</t>
  </si>
  <si>
    <t xml:space="preserve">   日期</t>
  </si>
  <si>
    <t>上月结余</t>
  </si>
  <si>
    <t>合计小时</t>
  </si>
  <si>
    <t>病假</t>
  </si>
  <si>
    <t>六合</t>
  </si>
  <si>
    <t>姓名</t>
  </si>
  <si>
    <t>四</t>
  </si>
  <si>
    <t>五</t>
  </si>
  <si>
    <t>六</t>
  </si>
  <si>
    <t>日</t>
  </si>
  <si>
    <t>一</t>
  </si>
  <si>
    <t>二</t>
  </si>
  <si>
    <t>三</t>
  </si>
  <si>
    <t>外出</t>
  </si>
  <si>
    <t>王炳毅</t>
  </si>
  <si>
    <t>无病假</t>
  </si>
  <si>
    <t>漏打卡</t>
  </si>
  <si>
    <t>二〇二六年一月份考勤表</t>
  </si>
  <si>
    <t>序
号</t>
  </si>
  <si>
    <t xml:space="preserve"> 部门：益雍君                                                                                                                                                                                                                                   </t>
  </si>
  <si>
    <t>姓 名</t>
  </si>
  <si>
    <t xml:space="preserve">      日期  
 星期</t>
  </si>
  <si>
    <t>应出勤</t>
  </si>
  <si>
    <t>正常出勤</t>
  </si>
  <si>
    <t>排班轮休</t>
  </si>
  <si>
    <t>休假</t>
  </si>
  <si>
    <t>事假</t>
  </si>
  <si>
    <t>年假</t>
  </si>
  <si>
    <t>旷工</t>
  </si>
  <si>
    <t>迟到
早退</t>
  </si>
  <si>
    <t>陪产假</t>
  </si>
  <si>
    <t>工作日
加班</t>
  </si>
  <si>
    <t>周日
加班</t>
  </si>
  <si>
    <t>法定节假日
加班</t>
  </si>
  <si>
    <t>签字</t>
  </si>
  <si>
    <t>12月
病假天数</t>
  </si>
  <si>
    <t>应休
病假天数</t>
  </si>
  <si>
    <t>12月
已休
带薪病假</t>
  </si>
  <si>
    <t>12月
非带薪病假/天</t>
  </si>
  <si>
    <t>倒挂工时/H</t>
  </si>
  <si>
    <t>已补工时/H</t>
  </si>
  <si>
    <t>剩余倒挂工时/H</t>
  </si>
  <si>
    <t>天数</t>
  </si>
  <si>
    <t>H</t>
  </si>
  <si>
    <t>次数</t>
  </si>
  <si>
    <t>上午</t>
  </si>
  <si>
    <t>元旦</t>
  </si>
  <si>
    <t>08:00</t>
  </si>
  <si>
    <t>08:03</t>
  </si>
  <si>
    <t>--</t>
  </si>
  <si>
    <t>07:59</t>
  </si>
  <si>
    <t>08:13</t>
  </si>
  <si>
    <t>07:53</t>
  </si>
  <si>
    <t>08:02</t>
  </si>
  <si>
    <t>07:58</t>
  </si>
  <si>
    <t>08:04</t>
  </si>
  <si>
    <t>08:01</t>
  </si>
  <si>
    <t>07:49</t>
  </si>
  <si>
    <t>07:57</t>
  </si>
  <si>
    <t>08:15</t>
  </si>
  <si>
    <t>公休</t>
  </si>
  <si>
    <t>23天</t>
  </si>
  <si>
    <t>无可调休时间
无年假</t>
  </si>
  <si>
    <t>正常</t>
  </si>
  <si>
    <t>缺卡（08:00）</t>
  </si>
  <si>
    <t>迟到8分钟</t>
  </si>
  <si>
    <t>迟到10分钟</t>
  </si>
  <si>
    <t>下午</t>
  </si>
  <si>
    <t>18:00</t>
  </si>
  <si>
    <t>18:02</t>
  </si>
  <si>
    <t>18:03</t>
  </si>
  <si>
    <t>18:01</t>
  </si>
  <si>
    <t>20:02</t>
  </si>
  <si>
    <t>20:00</t>
  </si>
  <si>
    <t>18:04</t>
  </si>
  <si>
    <t>20:01</t>
  </si>
  <si>
    <t>17:32</t>
  </si>
  <si>
    <t>早退28分钟</t>
  </si>
  <si>
    <t>扣除
工时/分钟</t>
  </si>
  <si>
    <t>出勤 √   事假 ○   病假 ☆   学习 △   旷工 ×   迟到 ※   早退 ◇   中途脱岗 ◆   市内出差 ▲   调休 ●  
注：此表由部门考勤员填写，统一报人力资源部</t>
  </si>
  <si>
    <t>制表人：施心怡</t>
  </si>
  <si>
    <t>复核人：施心怡</t>
  </si>
  <si>
    <t>人事部审核：</t>
  </si>
  <si>
    <t>副总经理审核：</t>
  </si>
  <si>
    <t>益雍君工作人员2026年2月份加班明细</t>
  </si>
  <si>
    <t>二〇二六年二月份考勤表</t>
  </si>
  <si>
    <t>13:30</t>
  </si>
  <si>
    <t>放假</t>
  </si>
  <si>
    <t>15:00</t>
  </si>
  <si>
    <t>春节假期</t>
  </si>
  <si>
    <t>08:05</t>
  </si>
  <si>
    <t>2天</t>
  </si>
  <si>
    <t>迟到325分钟</t>
  </si>
  <si>
    <t>迟到415分钟</t>
  </si>
  <si>
    <t>18:25</t>
  </si>
  <si>
    <t>年会</t>
  </si>
  <si>
    <t>18:16</t>
  </si>
  <si>
    <t>缺卡（18:00）</t>
  </si>
  <si>
    <t>益雍君工作人员2026年3月份加班明细</t>
  </si>
  <si>
    <t>二〇二六年三月份考勤表</t>
  </si>
  <si>
    <t>17:00</t>
  </si>
  <si>
    <t>08:12</t>
  </si>
  <si>
    <t>07:56</t>
  </si>
  <si>
    <t>07:51</t>
  </si>
  <si>
    <t>08:28</t>
  </si>
  <si>
    <t>08:19</t>
  </si>
  <si>
    <t>08:57</t>
  </si>
  <si>
    <t>09:01</t>
  </si>
  <si>
    <t>25天</t>
  </si>
  <si>
    <t>1天</t>
  </si>
  <si>
    <t xml:space="preserve">（带薪病假已休 3 天）
</t>
  </si>
  <si>
    <t>迟到535分钟</t>
  </si>
  <si>
    <t>迟到7分钟</t>
  </si>
  <si>
    <t>迟到23分钟</t>
  </si>
  <si>
    <t>迟到14分钟</t>
  </si>
  <si>
    <t>迟到52分钟</t>
  </si>
  <si>
    <t>迟到56分钟</t>
  </si>
  <si>
    <t>18:06</t>
  </si>
  <si>
    <t>18:05</t>
  </si>
  <si>
    <t>18:07</t>
  </si>
  <si>
    <t>20:36</t>
  </si>
  <si>
    <t>益雍君工作人员2026年4月份加班明细</t>
  </si>
  <si>
    <t>二〇二六年四月份考勤表</t>
  </si>
  <si>
    <t>08:59</t>
  </si>
  <si>
    <t>06:11</t>
  </si>
  <si>
    <t>08:56</t>
  </si>
  <si>
    <t>清明节</t>
  </si>
  <si>
    <t>08:54</t>
  </si>
  <si>
    <t>调休</t>
  </si>
  <si>
    <t>09:02</t>
  </si>
  <si>
    <t>08:50</t>
  </si>
  <si>
    <t>08:55</t>
  </si>
  <si>
    <t>08:58</t>
  </si>
  <si>
    <t>08:51</t>
  </si>
  <si>
    <t>08:34</t>
  </si>
  <si>
    <t>08:49</t>
  </si>
  <si>
    <t>08:52</t>
  </si>
  <si>
    <t>12:48</t>
  </si>
  <si>
    <t>迟到54分钟</t>
  </si>
  <si>
    <t>缺卡（09:05）</t>
  </si>
  <si>
    <t>迟到223分钟</t>
  </si>
  <si>
    <t>18:15</t>
  </si>
  <si>
    <t>18:30</t>
  </si>
  <si>
    <t>15:22</t>
  </si>
  <si>
    <t>20:32</t>
  </si>
  <si>
    <t>10:16</t>
  </si>
  <si>
    <t>20:30</t>
  </si>
  <si>
    <t>17:01</t>
  </si>
  <si>
    <t>早退60分钟</t>
  </si>
  <si>
    <t>早退59分钟</t>
  </si>
  <si>
    <t>益雍君工作人员2026年5月份加班明细</t>
  </si>
  <si>
    <t>二〇二六年五月份考勤表</t>
  </si>
  <si>
    <t>五一</t>
  </si>
  <si>
    <t>08:42</t>
  </si>
  <si>
    <t>08:53</t>
  </si>
  <si>
    <t>08:43</t>
  </si>
  <si>
    <t>12:01</t>
  </si>
  <si>
    <t>09:00</t>
  </si>
  <si>
    <t>21天</t>
  </si>
  <si>
    <t>迟到176分钟</t>
  </si>
  <si>
    <t>18:13</t>
  </si>
  <si>
    <t>11:57</t>
  </si>
  <si>
    <t>12:07</t>
  </si>
  <si>
    <t>12:08</t>
  </si>
  <si>
    <t>益雍君工作人员2026年6月份加班明细</t>
  </si>
  <si>
    <t>二〇二六年六月份考勤表</t>
  </si>
  <si>
    <t>12:02</t>
  </si>
  <si>
    <t>08:41</t>
  </si>
  <si>
    <t>08:46</t>
  </si>
  <si>
    <t>08:48</t>
  </si>
  <si>
    <t>端午</t>
  </si>
  <si>
    <t>11:59</t>
  </si>
  <si>
    <t>20天6H</t>
  </si>
  <si>
    <t>2天2H
（2H非带薪）</t>
  </si>
  <si>
    <t xml:space="preserve">（带薪病假已休完）
</t>
  </si>
  <si>
    <t>迟到177分钟</t>
  </si>
  <si>
    <t>迟到144分钟</t>
  </si>
  <si>
    <t>病假
5H</t>
  </si>
  <si>
    <t>20:34</t>
  </si>
  <si>
    <t>17:31</t>
  </si>
  <si>
    <t>19:39</t>
  </si>
  <si>
    <t>早退29分钟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</si>
</sst>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_ "/>
    <numFmt numFmtId="178" formatCode="yyyy&quot;年&quot;m&quot;月&quot;&quot;份考勤登记表&quot;"/>
  </numFmts>
  <fonts count="37">
    <font>
      <sz val="11"/>
      <color theme="1"/>
      <name val="宋体"/>
      <charset val="134"/>
      <scheme val="minor"/>
    </font>
    <font>
      <b/>
      <sz val="20"/>
      <color theme="1"/>
      <name val="微软雅黑"/>
      <charset val="134"/>
    </font>
    <font>
      <sz val="20"/>
      <color theme="1"/>
      <name val="微软雅黑"/>
      <charset val="134"/>
    </font>
    <font>
      <sz val="20"/>
      <color theme="1"/>
      <name val="宋体"/>
      <charset val="134"/>
      <scheme val="minor"/>
    </font>
    <font>
      <b/>
      <sz val="20"/>
      <name val="微软雅黑"/>
      <charset val="134"/>
    </font>
    <font>
      <sz val="18"/>
      <name val="微软雅黑"/>
      <charset val="134"/>
    </font>
    <font>
      <b/>
      <sz val="20"/>
      <color indexed="8"/>
      <name val="微软雅黑"/>
      <charset val="134"/>
    </font>
    <font>
      <sz val="11"/>
      <color theme="1"/>
      <name val="微软雅黑"/>
      <charset val="134"/>
    </font>
    <font>
      <b/>
      <sz val="20"/>
      <color rgb="FF000000"/>
      <name val="微软雅黑"/>
      <charset val="134"/>
    </font>
    <font>
      <b/>
      <sz val="20"/>
      <color indexed="0"/>
      <name val="微软雅黑"/>
      <charset val="134"/>
    </font>
    <font>
      <sz val="20"/>
      <name val="宋体"/>
      <charset val="134"/>
      <scheme val="minor"/>
    </font>
    <font>
      <sz val="20"/>
      <name val="微软雅黑"/>
      <charset val="134"/>
    </font>
    <font>
      <sz val="24"/>
      <color theme="1"/>
      <name val="微软雅黑"/>
      <charset val="134"/>
    </font>
    <font>
      <sz val="20"/>
      <color rgb="FFDF5951"/>
      <name val="宋体"/>
      <charset val="134"/>
      <scheme val="minor"/>
    </font>
    <font>
      <sz val="18"/>
      <name val="宋体"/>
      <charset val="134"/>
      <scheme val="minor"/>
    </font>
    <font>
      <sz val="18"/>
      <color rgb="FFDF5951"/>
      <name val="宋体"/>
      <charset val="134"/>
      <scheme val="minor"/>
    </font>
    <font>
      <sz val="20"/>
      <color rgb="FFDF595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DF9F9"/>
        <bgColor rgb="FFFDF9F9"/>
      </patternFill>
    </fill>
    <fill>
      <patternFill patternType="solid">
        <fgColor theme="8" tint="0.4"/>
        <bgColor rgb="FFFDF9F9"/>
      </patternFill>
    </fill>
    <fill>
      <patternFill patternType="solid">
        <fgColor theme="7" tint="0.8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2" borderId="1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3" borderId="18" applyNumberFormat="0" applyAlignment="0" applyProtection="0">
      <alignment vertical="center"/>
    </xf>
    <xf numFmtId="0" fontId="26" fillId="14" borderId="19" applyNumberFormat="0" applyAlignment="0" applyProtection="0">
      <alignment vertical="center"/>
    </xf>
    <xf numFmtId="0" fontId="27" fillId="14" borderId="18" applyNumberFormat="0" applyAlignment="0" applyProtection="0">
      <alignment vertical="center"/>
    </xf>
    <xf numFmtId="0" fontId="28" fillId="15" borderId="20" applyNumberFormat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6" fillId="0" borderId="0">
      <alignment vertical="center"/>
    </xf>
  </cellStyleXfs>
  <cellXfs count="115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 wrapText="1"/>
    </xf>
    <xf numFmtId="177" fontId="2" fillId="0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78" fontId="6" fillId="0" borderId="1" xfId="49" applyNumberFormat="1" applyFont="1" applyFill="1" applyBorder="1" applyAlignment="1" applyProtection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8" fillId="0" borderId="1" xfId="49" applyNumberFormat="1" applyFont="1" applyFill="1" applyBorder="1" applyAlignment="1" applyProtection="1">
      <alignment horizontal="left" vertical="center" wrapText="1"/>
    </xf>
    <xf numFmtId="0" fontId="9" fillId="0" borderId="1" xfId="49" applyNumberFormat="1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>
      <alignment horizontal="left" vertical="center" wrapText="1"/>
    </xf>
    <xf numFmtId="0" fontId="4" fillId="0" borderId="1" xfId="49" applyNumberFormat="1" applyFont="1" applyFill="1" applyBorder="1" applyAlignment="1" applyProtection="1">
      <alignment horizontal="center" vertical="center" wrapText="1" shrinkToFit="1"/>
    </xf>
    <xf numFmtId="0" fontId="4" fillId="0" borderId="1" xfId="49" applyNumberFormat="1" applyFont="1" applyFill="1" applyBorder="1" applyAlignment="1" applyProtection="1">
      <alignment horizontal="center" vertical="center" shrinkToFi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4" fillId="11" borderId="9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vertical="center"/>
    </xf>
    <xf numFmtId="0" fontId="10" fillId="0" borderId="9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考勤表" xfId="49"/>
  </cellStyles>
  <tableStyles count="0" defaultTableStyle="TableStyleMedium2" defaultPivotStyle="PivotStyleLight16"/>
  <colors>
    <mruColors>
      <color rgb="00F8FFFF"/>
      <color rgb="004DE4ED"/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38100</xdr:colOff>
      <xdr:row>1</xdr:row>
      <xdr:rowOff>14605</xdr:rowOff>
    </xdr:from>
    <xdr:to>
      <xdr:col>3</xdr:col>
      <xdr:colOff>9525</xdr:colOff>
      <xdr:row>2</xdr:row>
      <xdr:rowOff>178435</xdr:rowOff>
    </xdr:to>
    <xdr:sp>
      <xdr:nvSpPr>
        <xdr:cNvPr id="2" name="直线 1"/>
        <xdr:cNvSpPr/>
      </xdr:nvSpPr>
      <xdr:spPr>
        <a:xfrm>
          <a:off x="2014855" y="522605"/>
          <a:ext cx="1661795" cy="67183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sp>
    <xdr:clientData/>
  </xdr:twoCellAnchor>
  <xdr:twoCellAnchor>
    <xdr:from>
      <xdr:col>2</xdr:col>
      <xdr:colOff>38100</xdr:colOff>
      <xdr:row>11</xdr:row>
      <xdr:rowOff>14605</xdr:rowOff>
    </xdr:from>
    <xdr:to>
      <xdr:col>3</xdr:col>
      <xdr:colOff>9525</xdr:colOff>
      <xdr:row>12</xdr:row>
      <xdr:rowOff>178435</xdr:rowOff>
    </xdr:to>
    <xdr:sp>
      <xdr:nvSpPr>
        <xdr:cNvPr id="3" name="直线 1"/>
        <xdr:cNvSpPr/>
      </xdr:nvSpPr>
      <xdr:spPr>
        <a:xfrm>
          <a:off x="2014855" y="3688080"/>
          <a:ext cx="1661795" cy="79883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38100</xdr:colOff>
      <xdr:row>1</xdr:row>
      <xdr:rowOff>14605</xdr:rowOff>
    </xdr:from>
    <xdr:to>
      <xdr:col>3</xdr:col>
      <xdr:colOff>9525</xdr:colOff>
      <xdr:row>2</xdr:row>
      <xdr:rowOff>178435</xdr:rowOff>
    </xdr:to>
    <xdr:sp>
      <xdr:nvSpPr>
        <xdr:cNvPr id="2" name="直线 1"/>
        <xdr:cNvSpPr/>
      </xdr:nvSpPr>
      <xdr:spPr>
        <a:xfrm>
          <a:off x="2014855" y="522605"/>
          <a:ext cx="1661795" cy="67183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sp>
    <xdr:clientData/>
  </xdr:twoCellAnchor>
  <xdr:twoCellAnchor>
    <xdr:from>
      <xdr:col>2</xdr:col>
      <xdr:colOff>38100</xdr:colOff>
      <xdr:row>7</xdr:row>
      <xdr:rowOff>14605</xdr:rowOff>
    </xdr:from>
    <xdr:to>
      <xdr:col>3</xdr:col>
      <xdr:colOff>9525</xdr:colOff>
      <xdr:row>8</xdr:row>
      <xdr:rowOff>178435</xdr:rowOff>
    </xdr:to>
    <xdr:sp>
      <xdr:nvSpPr>
        <xdr:cNvPr id="3" name="直线 1"/>
        <xdr:cNvSpPr/>
      </xdr:nvSpPr>
      <xdr:spPr>
        <a:xfrm>
          <a:off x="2014855" y="3688080"/>
          <a:ext cx="1661795" cy="79883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38100</xdr:colOff>
      <xdr:row>1</xdr:row>
      <xdr:rowOff>14605</xdr:rowOff>
    </xdr:from>
    <xdr:to>
      <xdr:col>3</xdr:col>
      <xdr:colOff>9525</xdr:colOff>
      <xdr:row>2</xdr:row>
      <xdr:rowOff>178435</xdr:rowOff>
    </xdr:to>
    <xdr:sp>
      <xdr:nvSpPr>
        <xdr:cNvPr id="2" name="直线 1"/>
        <xdr:cNvSpPr/>
      </xdr:nvSpPr>
      <xdr:spPr>
        <a:xfrm>
          <a:off x="2014855" y="522605"/>
          <a:ext cx="1661795" cy="67183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sp>
    <xdr:clientData/>
  </xdr:twoCellAnchor>
  <xdr:twoCellAnchor>
    <xdr:from>
      <xdr:col>2</xdr:col>
      <xdr:colOff>38100</xdr:colOff>
      <xdr:row>7</xdr:row>
      <xdr:rowOff>14605</xdr:rowOff>
    </xdr:from>
    <xdr:to>
      <xdr:col>3</xdr:col>
      <xdr:colOff>9525</xdr:colOff>
      <xdr:row>8</xdr:row>
      <xdr:rowOff>178435</xdr:rowOff>
    </xdr:to>
    <xdr:sp>
      <xdr:nvSpPr>
        <xdr:cNvPr id="3" name="直线 1"/>
        <xdr:cNvSpPr/>
      </xdr:nvSpPr>
      <xdr:spPr>
        <a:xfrm>
          <a:off x="2014855" y="3688080"/>
          <a:ext cx="1661795" cy="79883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38100</xdr:colOff>
      <xdr:row>1</xdr:row>
      <xdr:rowOff>14605</xdr:rowOff>
    </xdr:from>
    <xdr:to>
      <xdr:col>3</xdr:col>
      <xdr:colOff>9525</xdr:colOff>
      <xdr:row>2</xdr:row>
      <xdr:rowOff>178435</xdr:rowOff>
    </xdr:to>
    <xdr:sp>
      <xdr:nvSpPr>
        <xdr:cNvPr id="2" name="直线 1"/>
        <xdr:cNvSpPr/>
      </xdr:nvSpPr>
      <xdr:spPr>
        <a:xfrm>
          <a:off x="2014855" y="522605"/>
          <a:ext cx="1661795" cy="67183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sp>
    <xdr:clientData/>
  </xdr:twoCellAnchor>
  <xdr:twoCellAnchor>
    <xdr:from>
      <xdr:col>2</xdr:col>
      <xdr:colOff>38100</xdr:colOff>
      <xdr:row>7</xdr:row>
      <xdr:rowOff>14605</xdr:rowOff>
    </xdr:from>
    <xdr:to>
      <xdr:col>3</xdr:col>
      <xdr:colOff>9525</xdr:colOff>
      <xdr:row>8</xdr:row>
      <xdr:rowOff>178435</xdr:rowOff>
    </xdr:to>
    <xdr:sp>
      <xdr:nvSpPr>
        <xdr:cNvPr id="3" name="直线 1"/>
        <xdr:cNvSpPr/>
      </xdr:nvSpPr>
      <xdr:spPr>
        <a:xfrm>
          <a:off x="2014855" y="3688080"/>
          <a:ext cx="1661795" cy="79883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38100</xdr:colOff>
      <xdr:row>1</xdr:row>
      <xdr:rowOff>14605</xdr:rowOff>
    </xdr:from>
    <xdr:to>
      <xdr:col>3</xdr:col>
      <xdr:colOff>9525</xdr:colOff>
      <xdr:row>2</xdr:row>
      <xdr:rowOff>178435</xdr:rowOff>
    </xdr:to>
    <xdr:sp>
      <xdr:nvSpPr>
        <xdr:cNvPr id="2" name="直线 1"/>
        <xdr:cNvSpPr/>
      </xdr:nvSpPr>
      <xdr:spPr>
        <a:xfrm>
          <a:off x="2014855" y="522605"/>
          <a:ext cx="1661795" cy="67183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sp>
    <xdr:clientData/>
  </xdr:twoCellAnchor>
  <xdr:twoCellAnchor>
    <xdr:from>
      <xdr:col>2</xdr:col>
      <xdr:colOff>38100</xdr:colOff>
      <xdr:row>7</xdr:row>
      <xdr:rowOff>14605</xdr:rowOff>
    </xdr:from>
    <xdr:to>
      <xdr:col>3</xdr:col>
      <xdr:colOff>9525</xdr:colOff>
      <xdr:row>8</xdr:row>
      <xdr:rowOff>178435</xdr:rowOff>
    </xdr:to>
    <xdr:sp>
      <xdr:nvSpPr>
        <xdr:cNvPr id="3" name="直线 1"/>
        <xdr:cNvSpPr/>
      </xdr:nvSpPr>
      <xdr:spPr>
        <a:xfrm>
          <a:off x="2014855" y="3688080"/>
          <a:ext cx="1661795" cy="79883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38100</xdr:colOff>
      <xdr:row>1</xdr:row>
      <xdr:rowOff>14605</xdr:rowOff>
    </xdr:from>
    <xdr:to>
      <xdr:col>3</xdr:col>
      <xdr:colOff>9525</xdr:colOff>
      <xdr:row>2</xdr:row>
      <xdr:rowOff>178435</xdr:rowOff>
    </xdr:to>
    <xdr:sp>
      <xdr:nvSpPr>
        <xdr:cNvPr id="2" name="直线 1"/>
        <xdr:cNvSpPr/>
      </xdr:nvSpPr>
      <xdr:spPr>
        <a:xfrm>
          <a:off x="2014855" y="522605"/>
          <a:ext cx="1661795" cy="67183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sp>
    <xdr:clientData/>
  </xdr:twoCellAnchor>
  <xdr:twoCellAnchor>
    <xdr:from>
      <xdr:col>2</xdr:col>
      <xdr:colOff>38100</xdr:colOff>
      <xdr:row>7</xdr:row>
      <xdr:rowOff>14605</xdr:rowOff>
    </xdr:from>
    <xdr:to>
      <xdr:col>3</xdr:col>
      <xdr:colOff>9525</xdr:colOff>
      <xdr:row>8</xdr:row>
      <xdr:rowOff>178435</xdr:rowOff>
    </xdr:to>
    <xdr:sp>
      <xdr:nvSpPr>
        <xdr:cNvPr id="3" name="直线 1"/>
        <xdr:cNvSpPr/>
      </xdr:nvSpPr>
      <xdr:spPr>
        <a:xfrm>
          <a:off x="2014855" y="3688080"/>
          <a:ext cx="1661795" cy="79883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sp>
    <xdr:clientData/>
  </xdr:twoCellAnchor>
  <xdr:twoCellAnchor>
    <xdr:from>
      <xdr:col>2</xdr:col>
      <xdr:colOff>38100</xdr:colOff>
      <xdr:row>7</xdr:row>
      <xdr:rowOff>14605</xdr:rowOff>
    </xdr:from>
    <xdr:to>
      <xdr:col>3</xdr:col>
      <xdr:colOff>9525</xdr:colOff>
      <xdr:row>8</xdr:row>
      <xdr:rowOff>178435</xdr:rowOff>
    </xdr:to>
    <xdr:sp>
      <xdr:nvSpPr>
        <xdr:cNvPr id="4" name="直线 1"/>
        <xdr:cNvSpPr/>
      </xdr:nvSpPr>
      <xdr:spPr>
        <a:xfrm>
          <a:off x="2014855" y="3688080"/>
          <a:ext cx="1661795" cy="79883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G41"/>
  <sheetViews>
    <sheetView zoomScale="40" zoomScaleNormal="40" workbookViewId="0">
      <selection activeCell="AK45" sqref="AK45"/>
    </sheetView>
  </sheetViews>
  <sheetFormatPr defaultColWidth="10.625" defaultRowHeight="13.5"/>
  <cols>
    <col min="1" max="1" width="10.625" customWidth="1"/>
    <col min="2" max="2" width="15.3166666666667" customWidth="1"/>
    <col min="3" max="3" width="22.1833333333333" customWidth="1"/>
    <col min="4" max="35" width="10.625" customWidth="1"/>
    <col min="36" max="36" width="13.4333333333333" customWidth="1"/>
    <col min="37" max="37" width="17.5" customWidth="1"/>
    <col min="38" max="38" width="10.625" hidden="1" customWidth="1"/>
    <col min="39" max="39" width="10.625" customWidth="1"/>
    <col min="40" max="40" width="25" customWidth="1"/>
    <col min="41" max="41" width="15.25" customWidth="1"/>
    <col min="42" max="42" width="13.75" customWidth="1"/>
    <col min="43" max="48" width="10.625" hidden="1" customWidth="1"/>
    <col min="49" max="49" width="40.3166666666667" customWidth="1"/>
    <col min="50" max="53" width="10.625" hidden="1" customWidth="1"/>
    <col min="54" max="55" width="23.125" hidden="1" customWidth="1"/>
    <col min="56" max="56" width="21.125" customWidth="1"/>
    <col min="57" max="57" width="29.625" customWidth="1"/>
    <col min="58" max="58" width="28.625" customWidth="1"/>
    <col min="59" max="59" width="27.625" customWidth="1"/>
    <col min="60" max="16377" width="10.625" customWidth="1"/>
  </cols>
  <sheetData>
    <row r="1" ht="40" customHeight="1" spans="1:59">
      <c r="A1" s="1" t="inlineStr">
        <is>
          <t xml:space="preserve">全部部门工作人员2026年7月份加班明细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2"/>
      <c r="AM1" s="3"/>
      <c r="AN1" s="4"/>
      <c r="AO1" s="3"/>
      <c r="AP1" s="3"/>
      <c r="AQ1" s="3"/>
      <c r="AR1" s="3"/>
      <c r="AS1" s="3"/>
      <c r="AT1" s="3"/>
      <c r="AU1" s="3"/>
      <c r="AV1" s="3"/>
      <c r="AW1" s="3"/>
      <c r="AX1" s="5"/>
      <c r="AY1" s="5"/>
      <c r="AZ1" s="5"/>
      <c r="BA1" s="5"/>
    </row>
    <row r="2" ht="40" customHeight="1" spans="1:59">
      <c r="A2" s="1" t="s">
        <v>1</v>
      </c>
      <c r="B2" s="1" t="s">
        <v>2</v>
      </c>
      <c r="C2" s="1" t="s">
        <v>3</v>
      </c>
      <c r="D2" s="6">
        <v>1</v>
      </c>
      <c r="E2" s="6">
        <v>2</v>
      </c>
      <c r="F2" s="6">
        <v>3</v>
      </c>
      <c r="G2" s="6">
        <v>4</v>
      </c>
      <c r="H2" s="6">
        <v>5</v>
      </c>
      <c r="I2" s="6">
        <v>6</v>
      </c>
      <c r="J2" s="6">
        <v>7</v>
      </c>
      <c r="K2" s="6">
        <v>8</v>
      </c>
      <c r="L2" s="6">
        <v>9</v>
      </c>
      <c r="M2" s="6">
        <v>10</v>
      </c>
      <c r="N2" s="6">
        <v>11</v>
      </c>
      <c r="O2" s="6">
        <v>12</v>
      </c>
      <c r="P2" s="6">
        <v>13</v>
      </c>
      <c r="Q2" s="6">
        <v>14</v>
      </c>
      <c r="R2" s="6">
        <v>15</v>
      </c>
      <c r="S2" s="6">
        <v>16</v>
      </c>
      <c r="T2" s="6">
        <v>17</v>
      </c>
      <c r="U2" s="6">
        <v>18</v>
      </c>
      <c r="V2" s="6">
        <v>19</v>
      </c>
      <c r="W2" s="6">
        <v>20</v>
      </c>
      <c r="X2" s="6">
        <v>21</v>
      </c>
      <c r="Y2" s="6">
        <v>22</v>
      </c>
      <c r="Z2" s="6">
        <v>23</v>
      </c>
      <c r="AA2" s="6">
        <v>24</v>
      </c>
      <c r="AB2" s="6">
        <v>25</v>
      </c>
      <c r="AC2" s="6">
        <v>26</v>
      </c>
      <c r="AD2" s="6">
        <v>27</v>
      </c>
      <c r="AE2" s="6">
        <v>28</v>
      </c>
      <c r="AF2" s="6">
        <v>29</v>
      </c>
      <c r="AG2" s="6">
        <v>30</v>
      </c>
      <c r="AH2" s="6">
        <v>31</v>
      </c>
      <c r="AI2" s="7" t="s">
        <v>4</v>
      </c>
      <c r="AJ2" s="8" t="s">
        <v>5</v>
      </c>
      <c r="AK2" s="9" t="s">
        <v>6</v>
      </c>
      <c r="AL2" s="10"/>
      <c r="AM2" s="3"/>
      <c r="AN2" s="11"/>
      <c r="AO2" s="3"/>
      <c r="AP2" s="12"/>
      <c r="AQ2" s="12"/>
      <c r="AR2" s="3" t="s">
        <v>7</v>
      </c>
      <c r="AS2" s="3"/>
      <c r="AT2" s="3"/>
      <c r="AU2" s="3"/>
      <c r="AV2" s="3"/>
      <c r="AW2" s="3"/>
      <c r="AX2" s="5"/>
      <c r="AY2" s="5"/>
      <c r="AZ2" s="5"/>
      <c r="BA2" s="5"/>
    </row>
    <row r="3" ht="40" customHeight="1" spans="1:59">
      <c r="A3" s="1"/>
      <c r="B3" s="1"/>
      <c r="C3" s="1" t="s">
        <v>8</v>
      </c>
      <c r="D3" s="1" t="inlineStr">
        <is>
          <t xml:space="preserve">三</t>
        </is>
      </c>
      <c r="E3" s="1" t="inlineStr">
        <is>
          <t xml:space="preserve">四</t>
        </is>
      </c>
      <c r="F3" s="1" t="inlineStr">
        <is>
          <t xml:space="preserve">五</t>
        </is>
      </c>
      <c r="G3" s="1" t="inlineStr">
        <is>
          <t xml:space="preserve">六</t>
        </is>
      </c>
      <c r="H3" s="1" t="inlineStr">
        <is>
          <t xml:space="preserve">日</t>
        </is>
      </c>
      <c r="I3" s="1" t="inlineStr">
        <is>
          <t xml:space="preserve">一</t>
        </is>
      </c>
      <c r="J3" s="1" t="inlineStr">
        <is>
          <t xml:space="preserve">二</t>
        </is>
      </c>
      <c r="K3" s="1" t="inlineStr">
        <is>
          <t xml:space="preserve">三</t>
        </is>
      </c>
      <c r="L3" s="1" t="inlineStr">
        <is>
          <t xml:space="preserve">四</t>
        </is>
      </c>
      <c r="M3" s="1" t="inlineStr">
        <is>
          <t xml:space="preserve">五</t>
        </is>
      </c>
      <c r="N3" s="1" t="inlineStr">
        <is>
          <t xml:space="preserve">六</t>
        </is>
      </c>
      <c r="O3" s="1" t="inlineStr">
        <is>
          <t xml:space="preserve">日</t>
        </is>
      </c>
      <c r="P3" s="1" t="inlineStr">
        <is>
          <t xml:space="preserve">一</t>
        </is>
      </c>
      <c r="Q3" s="1" t="inlineStr">
        <is>
          <t xml:space="preserve">二</t>
        </is>
      </c>
      <c r="R3" s="1" t="inlineStr">
        <is>
          <t xml:space="preserve">三</t>
        </is>
      </c>
      <c r="S3" s="1" t="inlineStr">
        <is>
          <t xml:space="preserve">四</t>
        </is>
      </c>
      <c r="T3" s="1" t="inlineStr">
        <is>
          <t xml:space="preserve">五</t>
        </is>
      </c>
      <c r="U3" s="1" t="inlineStr">
        <is>
          <t xml:space="preserve">六</t>
        </is>
      </c>
      <c r="V3" s="1" t="inlineStr">
        <is>
          <t xml:space="preserve">日</t>
        </is>
      </c>
      <c r="W3" s="1" t="inlineStr">
        <is>
          <t xml:space="preserve">一</t>
        </is>
      </c>
      <c r="X3" s="1" t="inlineStr">
        <is>
          <t xml:space="preserve">二</t>
        </is>
      </c>
      <c r="Y3" s="1" t="inlineStr">
        <is>
          <t xml:space="preserve">三</t>
        </is>
      </c>
      <c r="Z3" s="1" t="inlineStr">
        <is>
          <t xml:space="preserve">四</t>
        </is>
      </c>
      <c r="AA3" s="1" t="inlineStr">
        <is>
          <t xml:space="preserve">五</t>
        </is>
      </c>
      <c r="AB3" s="1" t="inlineStr">
        <is>
          <t xml:space="preserve">六</t>
        </is>
      </c>
      <c r="AC3" s="1" t="inlineStr">
        <is>
          <t xml:space="preserve">日</t>
        </is>
      </c>
      <c r="AD3" s="1" t="inlineStr">
        <is>
          <t xml:space="preserve">一</t>
        </is>
      </c>
      <c r="AE3" s="1" t="inlineStr">
        <is>
          <t xml:space="preserve">二</t>
        </is>
      </c>
      <c r="AF3" s="1" t="inlineStr">
        <is>
          <t xml:space="preserve">三</t>
        </is>
      </c>
      <c r="AG3" s="1" t="inlineStr">
        <is>
          <t xml:space="preserve">四</t>
        </is>
      </c>
      <c r="AH3" s="1" t="inlineStr">
        <is>
          <t xml:space="preserve">五</t>
        </is>
      </c>
      <c r="AI3" s="13"/>
      <c r="AJ3" s="8"/>
      <c r="AK3" s="9"/>
      <c r="AL3" s="10"/>
      <c r="AM3" s="3"/>
      <c r="AN3" s="14"/>
      <c r="AO3" s="3"/>
      <c r="AP3" s="15"/>
      <c r="AQ3" s="15"/>
      <c r="AR3" s="3" t="s">
        <v>16</v>
      </c>
      <c r="AS3" s="3"/>
      <c r="AT3" s="3"/>
      <c r="AU3" s="3"/>
      <c r="AV3" s="3"/>
      <c r="AW3" s="3"/>
      <c r="AX3" s="5"/>
      <c r="AY3" s="5"/>
      <c r="AZ3" s="5"/>
      <c r="BA3" s="5"/>
    </row>
    <row r="4" ht="40" customHeight="1" spans="1:59">
      <c r="A4" s="1">
        <v>1</v>
      </c>
      <c r="B4" s="1" t="inlineStr">
        <is>
          <t xml:space="preserve">人事行政专员</t>
        </is>
      </c>
      <c r="C4" s="16" t="inlineStr">
        <is>
          <t xml:space="preserve">沈知夏</t>
        </is>
      </c>
      <c r="D4" s="17"/>
      <c r="E4" s="17"/>
      <c r="F4" s="17"/>
      <c r="G4" s="17"/>
      <c r="H4" s="17">
        <v>4</v>
      </c>
      <c r="I4" s="17"/>
      <c r="J4" s="17"/>
      <c r="K4" s="17"/>
      <c r="L4" s="17"/>
      <c r="M4" s="17">
        <v>4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6">
        <v>6</v>
      </c>
      <c r="AJ4" s="6">
        <f>ROUND(SUM(D4:AH4)+AI4,2)</f>
        <v>14</v>
      </c>
      <c r="AK4" s="4" t="inlineStr">
        <is>
          <t xml:space="preserve">1天</t>
        </is>
      </c>
      <c r="AL4" s="18"/>
      <c r="AM4" s="19"/>
      <c r="AN4" s="4"/>
      <c r="AO4" s="3"/>
      <c r="AP4" s="20"/>
      <c r="AQ4" s="20"/>
      <c r="AR4" s="3" t="s">
        <v>19</v>
      </c>
      <c r="AS4" s="3"/>
      <c r="AT4" s="3"/>
      <c r="AU4" s="3"/>
      <c r="AV4" s="3"/>
      <c r="AW4" s="3"/>
      <c r="AX4" s="5"/>
      <c r="AY4" s="5"/>
      <c r="AZ4" s="5"/>
      <c r="BA4" s="5"/>
    </row>
    <row r="5" ht="40" customHeight="1" spans="1:59">
      <c r="A5" s="1">
        <v>2</v>
      </c>
      <c r="B5" s="1" t="inlineStr">
        <is>
          <t xml:space="preserve">商务助理</t>
        </is>
      </c>
      <c r="C5" s="16" t="inlineStr">
        <is>
          <t xml:space="preserve">唐亦禾</t>
        </is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>
        <v>4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6">
        <v>4.5</v>
      </c>
      <c r="AJ5" s="6">
        <f>ROUND(SUM(D5:AH5)+AI5,2)</f>
        <v>8.5</v>
      </c>
      <c r="AK5" s="4" t="inlineStr">
        <is>
          <t xml:space="preserve">3天</t>
        </is>
      </c>
    </row>
    <row r="6" ht="40" customHeight="1" spans="1:59">
      <c r="A6" s="1">
        <v>3</v>
      </c>
      <c r="B6" s="1" t="inlineStr">
        <is>
          <t xml:space="preserve">设备技术员</t>
        </is>
      </c>
      <c r="C6" s="16" t="inlineStr">
        <is>
          <t xml:space="preserve">许洛川</t>
        </is>
      </c>
      <c r="D6" s="17"/>
      <c r="E6" s="17"/>
      <c r="F6" s="17"/>
      <c r="G6" s="17">
        <v>1.5</v>
      </c>
      <c r="H6" s="17"/>
      <c r="I6" s="17"/>
      <c r="J6" s="17"/>
      <c r="K6" s="17">
        <v>1.5</v>
      </c>
      <c r="L6" s="17"/>
      <c r="M6" s="17">
        <v>4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6">
        <v>3</v>
      </c>
      <c r="AJ6" s="6">
        <f>ROUND(SUM(D6:AH6)+AI6,2)</f>
        <v>10</v>
      </c>
      <c r="AK6" s="4" t="inlineStr">
        <is>
          <t xml:space="preserve">2天</t>
        </is>
      </c>
    </row>
    <row r="7" ht="40" customHeight="1" spans="1:59">
      <c r="A7" s="1">
        <v>4</v>
      </c>
      <c r="B7" s="1" t="inlineStr">
        <is>
          <t xml:space="preserve">注册工程师</t>
        </is>
      </c>
      <c r="C7" s="16" t="inlineStr">
        <is>
          <t xml:space="preserve">林予安</t>
        </is>
      </c>
      <c r="D7" s="17"/>
      <c r="E7" s="17"/>
      <c r="F7" s="17"/>
      <c r="G7" s="17"/>
      <c r="H7" s="17"/>
      <c r="I7" s="17"/>
      <c r="J7" s="17"/>
      <c r="K7" s="17">
        <v>1.5</v>
      </c>
      <c r="L7" s="17"/>
      <c r="M7" s="17">
        <v>4</v>
      </c>
      <c r="N7" s="17"/>
      <c r="O7" s="17">
        <v>4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6"/>
      <c r="AJ7" s="6">
        <f>ROUND(SUM(D7:AH7)+AI7,2)</f>
        <v>9.5</v>
      </c>
      <c r="AK7" s="4" t="inlineStr">
        <is>
          <t xml:space="preserve">1天</t>
        </is>
      </c>
    </row>
    <row r="8" ht="40" customHeight="1" spans="1:59">
      <c r="A8" s="1">
        <v>5</v>
      </c>
      <c r="B8" s="1" t="inlineStr">
        <is>
          <t xml:space="preserve">质量体系专员</t>
        </is>
      </c>
      <c r="C8" s="16" t="inlineStr">
        <is>
          <t xml:space="preserve">周庭序</t>
        </is>
      </c>
      <c r="D8" s="17"/>
      <c r="E8" s="17"/>
      <c r="F8" s="17"/>
      <c r="G8" s="17"/>
      <c r="H8" s="17">
        <v>4</v>
      </c>
      <c r="I8" s="17"/>
      <c r="J8" s="17"/>
      <c r="K8" s="17">
        <v>1.5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6">
        <v>1.5</v>
      </c>
      <c r="AJ8" s="6">
        <f>ROUND(SUM(D8:AH8)+AI8,2)</f>
        <v>7</v>
      </c>
      <c r="AK8" s="4" t="inlineStr">
        <is>
          <t xml:space="preserve">7天</t>
        </is>
      </c>
    </row>
    <row r="9" ht="29.25" spans="1:5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</row>
    <row r="10" ht="50" customHeight="1" spans="1:59">
      <c r="A10" s="22" t="inlineStr">
        <is>
          <t xml:space="preserve">二〇二六年七月份考勤表</t>
        </is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3"/>
      <c r="BC10" s="23"/>
      <c r="BD10" s="24"/>
      <c r="BE10" s="24"/>
      <c r="BF10" s="24"/>
      <c r="BG10" s="25"/>
    </row>
    <row r="11" ht="50" customHeight="1" spans="1:59">
      <c r="A11" s="26" t="s">
        <v>21</v>
      </c>
      <c r="B11" s="27" t="inlineStr">
        <is>
          <t xml:space="preserve"> 部门：全部部门</t>
        </is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2"/>
      <c r="AY11" s="22"/>
      <c r="AZ11" s="22"/>
      <c r="BA11" s="22"/>
      <c r="BB11" s="23"/>
      <c r="BC11" s="23"/>
      <c r="BD11" s="24"/>
      <c r="BE11" s="24"/>
      <c r="BF11" s="24"/>
      <c r="BG11" s="25"/>
    </row>
    <row r="12" ht="50" customHeight="1" spans="1:59">
      <c r="A12" s="9"/>
      <c r="B12" s="28" t="s">
        <v>23</v>
      </c>
      <c r="C12" s="29" t="s">
        <v>24</v>
      </c>
      <c r="D12" s="6">
        <v>1</v>
      </c>
      <c r="E12" s="6">
        <v>2</v>
      </c>
      <c r="F12" s="6">
        <v>3</v>
      </c>
      <c r="G12" s="6">
        <v>4</v>
      </c>
      <c r="H12" s="6">
        <v>5</v>
      </c>
      <c r="I12" s="6">
        <v>6</v>
      </c>
      <c r="J12" s="6">
        <v>7</v>
      </c>
      <c r="K12" s="6">
        <v>8</v>
      </c>
      <c r="L12" s="6">
        <v>9</v>
      </c>
      <c r="M12" s="6">
        <v>10</v>
      </c>
      <c r="N12" s="6">
        <v>11</v>
      </c>
      <c r="O12" s="6">
        <v>12</v>
      </c>
      <c r="P12" s="6">
        <v>13</v>
      </c>
      <c r="Q12" s="6">
        <v>14</v>
      </c>
      <c r="R12" s="6">
        <v>15</v>
      </c>
      <c r="S12" s="6">
        <v>16</v>
      </c>
      <c r="T12" s="6">
        <v>17</v>
      </c>
      <c r="U12" s="6">
        <v>18</v>
      </c>
      <c r="V12" s="6">
        <v>19</v>
      </c>
      <c r="W12" s="6">
        <v>20</v>
      </c>
      <c r="X12" s="6">
        <v>21</v>
      </c>
      <c r="Y12" s="6">
        <v>22</v>
      </c>
      <c r="Z12" s="6">
        <v>23</v>
      </c>
      <c r="AA12" s="6">
        <v>24</v>
      </c>
      <c r="AB12" s="6">
        <v>25</v>
      </c>
      <c r="AC12" s="6">
        <v>26</v>
      </c>
      <c r="AD12" s="6">
        <v>27</v>
      </c>
      <c r="AE12" s="6">
        <v>28</v>
      </c>
      <c r="AF12" s="6">
        <v>29</v>
      </c>
      <c r="AG12" s="6">
        <v>30</v>
      </c>
      <c r="AH12" s="6">
        <v>31</v>
      </c>
      <c r="AI12" s="30" t="s">
        <v>25</v>
      </c>
      <c r="AJ12" s="30"/>
      <c r="AK12" s="30" t="s">
        <v>26</v>
      </c>
      <c r="AL12" s="30" t="s">
        <v>27</v>
      </c>
      <c r="AM12" s="31" t="s">
        <v>28</v>
      </c>
      <c r="AN12" s="31" t="s">
        <v>6</v>
      </c>
      <c r="AO12" s="31" t="s">
        <v>29</v>
      </c>
      <c r="AP12" s="31" t="s">
        <v>30</v>
      </c>
      <c r="AQ12" s="31" t="s">
        <v>31</v>
      </c>
      <c r="AR12" s="30" t="s">
        <v>32</v>
      </c>
      <c r="AS12" s="26" t="s">
        <v>33</v>
      </c>
      <c r="AT12" s="30" t="s">
        <v>34</v>
      </c>
      <c r="AU12" s="30" t="s">
        <v>35</v>
      </c>
      <c r="AV12" s="26" t="s">
        <v>36</v>
      </c>
      <c r="AW12" s="9" t="s">
        <v>37</v>
      </c>
      <c r="AX12" s="32" t="inlineStr">
        <is>
          <t xml:space="preserve">6月
病假天数</t>
        </is>
      </c>
      <c r="AY12" s="26" t="s">
        <v>39</v>
      </c>
      <c r="AZ12" s="26" t="inlineStr">
        <is>
          <t xml:space="preserve">6月
已休
带薪病假</t>
        </is>
      </c>
      <c r="BA12" s="26" t="inlineStr">
        <is>
          <t xml:space="preserve">6月
非带薪病假/天</t>
        </is>
      </c>
      <c r="BB12" s="23"/>
      <c r="BC12" s="23"/>
      <c r="BD12" s="33" t="s">
        <v>42</v>
      </c>
      <c r="BE12" s="33" t="s">
        <v>43</v>
      </c>
      <c r="BF12" s="33" t="s">
        <v>44</v>
      </c>
      <c r="BG12" s="25"/>
    </row>
    <row r="13" ht="50" customHeight="1" spans="1:59">
      <c r="A13" s="9"/>
      <c r="B13" s="34"/>
      <c r="C13" s="35"/>
      <c r="D13" s="1" t="inlineStr">
        <is>
          <t xml:space="preserve">三</t>
        </is>
      </c>
      <c r="E13" s="1" t="inlineStr">
        <is>
          <t xml:space="preserve">四</t>
        </is>
      </c>
      <c r="F13" s="1" t="inlineStr">
        <is>
          <t xml:space="preserve">五</t>
        </is>
      </c>
      <c r="G13" s="1" t="inlineStr">
        <is>
          <t xml:space="preserve">六</t>
        </is>
      </c>
      <c r="H13" s="1" t="inlineStr">
        <is>
          <t xml:space="preserve">日</t>
        </is>
      </c>
      <c r="I13" s="1" t="inlineStr">
        <is>
          <t xml:space="preserve">一</t>
        </is>
      </c>
      <c r="J13" s="1" t="inlineStr">
        <is>
          <t xml:space="preserve">二</t>
        </is>
      </c>
      <c r="K13" s="1" t="inlineStr">
        <is>
          <t xml:space="preserve">三</t>
        </is>
      </c>
      <c r="L13" s="1" t="inlineStr">
        <is>
          <t xml:space="preserve">四</t>
        </is>
      </c>
      <c r="M13" s="1" t="inlineStr">
        <is>
          <t xml:space="preserve">五</t>
        </is>
      </c>
      <c r="N13" s="1" t="inlineStr">
        <is>
          <t xml:space="preserve">六</t>
        </is>
      </c>
      <c r="O13" s="1" t="inlineStr">
        <is>
          <t xml:space="preserve">日</t>
        </is>
      </c>
      <c r="P13" s="1" t="inlineStr">
        <is>
          <t xml:space="preserve">一</t>
        </is>
      </c>
      <c r="Q13" s="1" t="inlineStr">
        <is>
          <t xml:space="preserve">二</t>
        </is>
      </c>
      <c r="R13" s="1" t="inlineStr">
        <is>
          <t xml:space="preserve">三</t>
        </is>
      </c>
      <c r="S13" s="1" t="inlineStr">
        <is>
          <t xml:space="preserve">四</t>
        </is>
      </c>
      <c r="T13" s="1" t="inlineStr">
        <is>
          <t xml:space="preserve">五</t>
        </is>
      </c>
      <c r="U13" s="1" t="inlineStr">
        <is>
          <t xml:space="preserve">六</t>
        </is>
      </c>
      <c r="V13" s="1" t="inlineStr">
        <is>
          <t xml:space="preserve">日</t>
        </is>
      </c>
      <c r="W13" s="1" t="inlineStr">
        <is>
          <t xml:space="preserve">一</t>
        </is>
      </c>
      <c r="X13" s="1" t="inlineStr">
        <is>
          <t xml:space="preserve">二</t>
        </is>
      </c>
      <c r="Y13" s="1" t="inlineStr">
        <is>
          <t xml:space="preserve">三</t>
        </is>
      </c>
      <c r="Z13" s="1" t="inlineStr">
        <is>
          <t xml:space="preserve">四</t>
        </is>
      </c>
      <c r="AA13" s="1" t="inlineStr">
        <is>
          <t xml:space="preserve">五</t>
        </is>
      </c>
      <c r="AB13" s="1" t="inlineStr">
        <is>
          <t xml:space="preserve">六</t>
        </is>
      </c>
      <c r="AC13" s="1" t="inlineStr">
        <is>
          <t xml:space="preserve">日</t>
        </is>
      </c>
      <c r="AD13" s="1" t="inlineStr">
        <is>
          <t xml:space="preserve">一</t>
        </is>
      </c>
      <c r="AE13" s="1" t="inlineStr">
        <is>
          <t xml:space="preserve">二</t>
        </is>
      </c>
      <c r="AF13" s="1" t="inlineStr">
        <is>
          <t xml:space="preserve">三</t>
        </is>
      </c>
      <c r="AG13" s="1" t="inlineStr">
        <is>
          <t xml:space="preserve">四</t>
        </is>
      </c>
      <c r="AH13" s="1" t="inlineStr">
        <is>
          <t xml:space="preserve">五</t>
        </is>
      </c>
      <c r="AI13" s="31" t="s">
        <v>45</v>
      </c>
      <c r="AJ13" s="31"/>
      <c r="AK13" s="31" t="s">
        <v>45</v>
      </c>
      <c r="AL13" s="31" t="s">
        <v>45</v>
      </c>
      <c r="AM13" s="31" t="s">
        <v>45</v>
      </c>
      <c r="AN13" s="31" t="s">
        <v>45</v>
      </c>
      <c r="AO13" s="31" t="s">
        <v>45</v>
      </c>
      <c r="AP13" s="31" t="s">
        <v>46</v>
      </c>
      <c r="AQ13" s="31" t="s">
        <v>45</v>
      </c>
      <c r="AR13" s="31" t="s">
        <v>47</v>
      </c>
      <c r="AS13" s="9" t="s">
        <v>47</v>
      </c>
      <c r="AT13" s="31" t="s">
        <v>45</v>
      </c>
      <c r="AU13" s="31" t="s">
        <v>45</v>
      </c>
      <c r="AV13" s="31" t="s">
        <v>45</v>
      </c>
      <c r="AW13" s="9"/>
      <c r="AX13" s="36"/>
      <c r="AY13" s="9"/>
      <c r="AZ13" s="9"/>
      <c r="BA13" s="9"/>
      <c r="BB13" s="23"/>
      <c r="BC13" s="23"/>
      <c r="BD13" s="37"/>
      <c r="BE13" s="37"/>
      <c r="BF13" s="37"/>
      <c r="BG13" s="25"/>
    </row>
    <row r="14" ht="50" customHeight="1" spans="1:59">
      <c r="A14" s="38">
        <v>1</v>
      </c>
      <c r="B14" s="38" t="inlineStr">
        <is>
          <t xml:space="preserve">沈知夏</t>
        </is>
      </c>
      <c r="C14" s="39" t="inlineStr">
        <is>
          <t xml:space="preserve">上午</t>
        </is>
      </c>
      <c r="D14" s="45" t="inlineStr">
        <is>
          <t xml:space="preserve">年假</t>
        </is>
      </c>
      <c r="E14" s="45" t="inlineStr">
        <is>
          <t xml:space="preserve">市内出差</t>
        </is>
      </c>
      <c r="F14" s="45" t="inlineStr">
        <is>
          <t xml:space="preserve">学习</t>
        </is>
      </c>
      <c r="G14" s="90" t="inlineStr">
        <is>
          <t xml:space="preserve">调休</t>
        </is>
      </c>
      <c r="H14" s="70" t="inlineStr">
        <is>
          <t xml:space="preserve">08:00</t>
        </is>
      </c>
      <c r="I14" s="111" t="inlineStr">
        <is>
          <t xml:space="preserve">旷工</t>
        </is>
      </c>
      <c r="J14" s="70" t="inlineStr">
        <is>
          <t xml:space="preserve">08:20</t>
        </is>
      </c>
      <c r="K14" s="70" t="inlineStr">
        <is>
          <t xml:space="preserve">07:56</t>
        </is>
      </c>
      <c r="L14" s="70" t="inlineStr">
        <is>
          <t xml:space="preserve">08:20</t>
        </is>
      </c>
      <c r="M14" s="70" t="inlineStr">
        <is>
          <t xml:space="preserve">09:00</t>
        </is>
      </c>
      <c r="N14" s="70" t="inlineStr">
        <is>
          <t xml:space="preserve">07:56</t>
        </is>
      </c>
      <c r="O14" s="45" t="inlineStr">
        <is>
          <t xml:space="preserve">轮休</t>
        </is>
      </c>
      <c r="P14" s="70" t="inlineStr">
        <is>
          <t xml:space="preserve">07:56</t>
        </is>
      </c>
      <c r="Q14" s="70" t="inlineStr">
        <is>
          <t xml:space="preserve">07:56</t>
        </is>
      </c>
      <c r="R14" s="70" t="inlineStr">
        <is>
          <t xml:space="preserve">07:56</t>
        </is>
      </c>
      <c r="S14" s="70" t="inlineStr">
        <is>
          <t xml:space="preserve">--</t>
        </is>
      </c>
      <c r="T14" s="70" t="inlineStr">
        <is>
          <t xml:space="preserve">--</t>
        </is>
      </c>
      <c r="U14" s="70" t="inlineStr">
        <is>
          <t xml:space="preserve">--</t>
        </is>
      </c>
      <c r="V14" s="70" t="inlineStr">
        <is>
          <t xml:space="preserve">--</t>
        </is>
      </c>
      <c r="W14" s="70" t="inlineStr">
        <is>
          <t xml:space="preserve">--</t>
        </is>
      </c>
      <c r="X14" s="70" t="inlineStr">
        <is>
          <t xml:space="preserve">--</t>
        </is>
      </c>
      <c r="Y14" s="70" t="inlineStr">
        <is>
          <t xml:space="preserve">--</t>
        </is>
      </c>
      <c r="Z14" s="70" t="inlineStr">
        <is>
          <t xml:space="preserve">--</t>
        </is>
      </c>
      <c r="AA14" s="70" t="inlineStr">
        <is>
          <t xml:space="preserve">--</t>
        </is>
      </c>
      <c r="AB14" s="70" t="inlineStr">
        <is>
          <t xml:space="preserve">--</t>
        </is>
      </c>
      <c r="AC14" s="70" t="inlineStr">
        <is>
          <t xml:space="preserve">--</t>
        </is>
      </c>
      <c r="AD14" s="70" t="inlineStr">
        <is>
          <t xml:space="preserve">--</t>
        </is>
      </c>
      <c r="AE14" s="70" t="inlineStr">
        <is>
          <t xml:space="preserve">--</t>
        </is>
      </c>
      <c r="AF14" s="70" t="inlineStr">
        <is>
          <t xml:space="preserve">--</t>
        </is>
      </c>
      <c r="AG14" s="70" t="inlineStr">
        <is>
          <t xml:space="preserve">--</t>
        </is>
      </c>
      <c r="AH14" s="70" t="inlineStr">
        <is>
          <t xml:space="preserve">--</t>
        </is>
      </c>
      <c r="AI14" s="45" t="inlineStr">
        <is>
          <t xml:space="preserve">26天</t>
        </is>
      </c>
      <c r="AJ14" s="46"/>
      <c r="AK14" s="47" t="inlineStr">
        <is>
          <t xml:space="preserve">9天</t>
        </is>
      </c>
      <c r="AL14" s="47" t="inlineStr">
        <is>
          <t xml:space="preserve">1天</t>
        </is>
      </c>
      <c r="AM14" s="47" t="inlineStr">
        <is>
          <t xml:space="preserve">1天</t>
        </is>
      </c>
      <c r="AN14" s="47"/>
      <c r="AO14" s="47"/>
      <c r="AP14" s="47" t="inlineStr">
        <is>
          <t xml:space="preserve">1天</t>
        </is>
      </c>
      <c r="AQ14" s="47" t="inlineStr">
        <is>
          <t xml:space="preserve">1天</t>
        </is>
      </c>
      <c r="AR14" s="47">
        <v>3</v>
      </c>
      <c r="AS14" s="47"/>
      <c r="AT14" s="47"/>
      <c r="AU14" s="47">
        <v>4</v>
      </c>
      <c r="AV14" s="47">
        <v>4</v>
      </c>
      <c r="AW14" s="47"/>
      <c r="AX14" s="47">
        <v>1</v>
      </c>
      <c r="AY14" s="47">
        <v>5</v>
      </c>
      <c r="AZ14" s="47"/>
      <c r="BA14" s="47"/>
      <c r="BB14" s="23">
        <v>0</v>
      </c>
      <c r="BC14" s="23">
        <v>0</v>
      </c>
      <c r="BD14" s="47"/>
      <c r="BE14" s="47">
        <f>ROUND(BB14+BC14,2)</f>
        <v>0</v>
      </c>
      <c r="BF14" s="47">
        <f>MAX(0,BD14-BE14)</f>
        <v>0</v>
      </c>
      <c r="BG14" s="49" t="inlineStr">
        <is>
          <t xml:space="preserve">调休时间透支 4 小时</t>
        </is>
      </c>
    </row>
    <row r="15" ht="50" customHeight="1" spans="1:59">
      <c r="A15" s="50"/>
      <c r="B15" s="50"/>
      <c r="C15" s="39" t="inlineStr">
        <is>
          <t xml:space="preserve">上午</t>
        </is>
      </c>
      <c r="D15" s="70"/>
      <c r="E15" s="70"/>
      <c r="F15" s="70"/>
      <c r="G15" s="70"/>
      <c r="H15" s="70" t="inlineStr">
        <is>
          <t xml:space="preserve">正常</t>
        </is>
      </c>
      <c r="I15" s="70"/>
      <c r="J15" s="111" t="inlineStr">
        <is>
          <t xml:space="preserve">迟到20分钟</t>
        </is>
      </c>
      <c r="K15" s="111" t="inlineStr">
        <is>
          <t xml:space="preserve">正常</t>
        </is>
      </c>
      <c r="L15" s="111" t="inlineStr">
        <is>
          <t xml:space="preserve">迟到20分钟</t>
        </is>
      </c>
      <c r="M15" s="70" t="inlineStr">
        <is>
          <t xml:space="preserve">正常</t>
        </is>
      </c>
      <c r="N15" s="70" t="inlineStr">
        <is>
          <t xml:space="preserve">正常</t>
        </is>
      </c>
      <c r="O15" s="70"/>
      <c r="P15" s="70" t="inlineStr">
        <is>
          <t xml:space="preserve">正常</t>
        </is>
      </c>
      <c r="Q15" s="70" t="inlineStr">
        <is>
          <t xml:space="preserve">正常</t>
        </is>
      </c>
      <c r="R15" s="70" t="inlineStr">
        <is>
          <t xml:space="preserve">正常</t>
        </is>
      </c>
      <c r="S15" s="70" t="inlineStr">
        <is>
          <t xml:space="preserve">--</t>
        </is>
      </c>
      <c r="T15" s="70" t="inlineStr">
        <is>
          <t xml:space="preserve">--</t>
        </is>
      </c>
      <c r="U15" s="70" t="inlineStr">
        <is>
          <t xml:space="preserve">--</t>
        </is>
      </c>
      <c r="V15" s="70" t="inlineStr">
        <is>
          <t xml:space="preserve">--</t>
        </is>
      </c>
      <c r="W15" s="70" t="inlineStr">
        <is>
          <t xml:space="preserve">--</t>
        </is>
      </c>
      <c r="X15" s="70" t="inlineStr">
        <is>
          <t xml:space="preserve">--</t>
        </is>
      </c>
      <c r="Y15" s="70" t="inlineStr">
        <is>
          <t xml:space="preserve">--</t>
        </is>
      </c>
      <c r="Z15" s="70" t="inlineStr">
        <is>
          <t xml:space="preserve">--</t>
        </is>
      </c>
      <c r="AA15" s="70" t="inlineStr">
        <is>
          <t xml:space="preserve">--</t>
        </is>
      </c>
      <c r="AB15" s="70" t="inlineStr">
        <is>
          <t xml:space="preserve">--</t>
        </is>
      </c>
      <c r="AC15" s="70" t="inlineStr">
        <is>
          <t xml:space="preserve">--</t>
        </is>
      </c>
      <c r="AD15" s="70" t="inlineStr">
        <is>
          <t xml:space="preserve">--</t>
        </is>
      </c>
      <c r="AE15" s="70" t="inlineStr">
        <is>
          <t xml:space="preserve">--</t>
        </is>
      </c>
      <c r="AF15" s="70" t="inlineStr">
        <is>
          <t xml:space="preserve">--</t>
        </is>
      </c>
      <c r="AG15" s="70" t="inlineStr">
        <is>
          <t xml:space="preserve">--</t>
        </is>
      </c>
      <c r="AH15" s="70" t="inlineStr">
        <is>
          <t xml:space="preserve">--</t>
        </is>
      </c>
      <c r="AI15" s="57"/>
      <c r="AJ15" s="58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23"/>
      <c r="BC15" s="23"/>
      <c r="BD15" s="59"/>
      <c r="BE15" s="59"/>
      <c r="BF15" s="59"/>
      <c r="BG15" s="60"/>
    </row>
    <row r="16" ht="50" customHeight="1" spans="1:59">
      <c r="A16" s="50"/>
      <c r="B16" s="50"/>
      <c r="C16" s="39" t="inlineStr">
        <is>
          <t xml:space="preserve">下午</t>
        </is>
      </c>
      <c r="D16" s="70"/>
      <c r="E16" s="70"/>
      <c r="F16" s="70"/>
      <c r="G16" s="70"/>
      <c r="H16" s="70" t="inlineStr">
        <is>
          <t xml:space="preserve">13:00</t>
        </is>
      </c>
      <c r="I16" s="70"/>
      <c r="J16" s="70" t="inlineStr">
        <is>
          <t xml:space="preserve">18:05</t>
        </is>
      </c>
      <c r="K16" s="70" t="inlineStr">
        <is>
          <t xml:space="preserve">17:28</t>
        </is>
      </c>
      <c r="L16" s="70" t="inlineStr">
        <is>
          <t xml:space="preserve">17:28</t>
        </is>
      </c>
      <c r="M16" s="70" t="inlineStr">
        <is>
          <t xml:space="preserve">13:00</t>
        </is>
      </c>
      <c r="N16" s="70" t="inlineStr">
        <is>
          <t xml:space="preserve">18:05</t>
        </is>
      </c>
      <c r="O16" s="70"/>
      <c r="P16" s="70" t="inlineStr">
        <is>
          <t xml:space="preserve">18:05</t>
        </is>
      </c>
      <c r="Q16" s="70" t="inlineStr">
        <is>
          <t xml:space="preserve">18:05</t>
        </is>
      </c>
      <c r="R16" s="70" t="inlineStr">
        <is>
          <t xml:space="preserve">18:05</t>
        </is>
      </c>
      <c r="S16" s="70" t="inlineStr">
        <is>
          <t xml:space="preserve">--</t>
        </is>
      </c>
      <c r="T16" s="70" t="inlineStr">
        <is>
          <t xml:space="preserve">--</t>
        </is>
      </c>
      <c r="U16" s="70" t="inlineStr">
        <is>
          <t xml:space="preserve">--</t>
        </is>
      </c>
      <c r="V16" s="70" t="inlineStr">
        <is>
          <t xml:space="preserve">--</t>
        </is>
      </c>
      <c r="W16" s="70" t="inlineStr">
        <is>
          <t xml:space="preserve">--</t>
        </is>
      </c>
      <c r="X16" s="70" t="inlineStr">
        <is>
          <t xml:space="preserve">--</t>
        </is>
      </c>
      <c r="Y16" s="70" t="inlineStr">
        <is>
          <t xml:space="preserve">--</t>
        </is>
      </c>
      <c r="Z16" s="70" t="inlineStr">
        <is>
          <t xml:space="preserve">--</t>
        </is>
      </c>
      <c r="AA16" s="70" t="inlineStr">
        <is>
          <t xml:space="preserve">--</t>
        </is>
      </c>
      <c r="AB16" s="70" t="inlineStr">
        <is>
          <t xml:space="preserve">--</t>
        </is>
      </c>
      <c r="AC16" s="70" t="inlineStr">
        <is>
          <t xml:space="preserve">--</t>
        </is>
      </c>
      <c r="AD16" s="70" t="inlineStr">
        <is>
          <t xml:space="preserve">--</t>
        </is>
      </c>
      <c r="AE16" s="70" t="inlineStr">
        <is>
          <t xml:space="preserve">--</t>
        </is>
      </c>
      <c r="AF16" s="70" t="inlineStr">
        <is>
          <t xml:space="preserve">--</t>
        </is>
      </c>
      <c r="AG16" s="70" t="inlineStr">
        <is>
          <t xml:space="preserve">--</t>
        </is>
      </c>
      <c r="AH16" s="70" t="inlineStr">
        <is>
          <t xml:space="preserve">--</t>
        </is>
      </c>
      <c r="AI16" s="57"/>
      <c r="AJ16" s="58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23"/>
      <c r="BC16" s="23"/>
      <c r="BD16" s="59"/>
      <c r="BE16" s="59"/>
      <c r="BF16" s="59"/>
      <c r="BG16" s="60"/>
    </row>
    <row r="17" ht="50" customHeight="1" spans="1:59">
      <c r="A17" s="50"/>
      <c r="B17" s="50"/>
      <c r="C17" s="39" t="inlineStr">
        <is>
          <t xml:space="preserve">下午</t>
        </is>
      </c>
      <c r="D17" s="70"/>
      <c r="E17" s="70"/>
      <c r="F17" s="70"/>
      <c r="G17" s="70"/>
      <c r="H17" s="70" t="inlineStr">
        <is>
          <t xml:space="preserve">正常</t>
        </is>
      </c>
      <c r="I17" s="70"/>
      <c r="J17" s="111" t="inlineStr">
        <is>
          <t xml:space="preserve">正常</t>
        </is>
      </c>
      <c r="K17" s="111" t="inlineStr">
        <is>
          <t xml:space="preserve">早退32分钟</t>
        </is>
      </c>
      <c r="L17" s="111" t="inlineStr">
        <is>
          <t xml:space="preserve">早退32分钟</t>
        </is>
      </c>
      <c r="M17" s="70" t="inlineStr">
        <is>
          <t xml:space="preserve">正常</t>
        </is>
      </c>
      <c r="N17" s="70" t="inlineStr">
        <is>
          <t xml:space="preserve">正常</t>
        </is>
      </c>
      <c r="O17" s="70"/>
      <c r="P17" s="70" t="inlineStr">
        <is>
          <t xml:space="preserve">正常</t>
        </is>
      </c>
      <c r="Q17" s="70" t="inlineStr">
        <is>
          <t xml:space="preserve">正常</t>
        </is>
      </c>
      <c r="R17" s="70" t="inlineStr">
        <is>
          <t xml:space="preserve">正常</t>
        </is>
      </c>
      <c r="S17" s="70" t="inlineStr">
        <is>
          <t xml:space="preserve">--</t>
        </is>
      </c>
      <c r="T17" s="70" t="inlineStr">
        <is>
          <t xml:space="preserve">--</t>
        </is>
      </c>
      <c r="U17" s="70" t="inlineStr">
        <is>
          <t xml:space="preserve">--</t>
        </is>
      </c>
      <c r="V17" s="70" t="inlineStr">
        <is>
          <t xml:space="preserve">--</t>
        </is>
      </c>
      <c r="W17" s="70" t="inlineStr">
        <is>
          <t xml:space="preserve">--</t>
        </is>
      </c>
      <c r="X17" s="70" t="inlineStr">
        <is>
          <t xml:space="preserve">--</t>
        </is>
      </c>
      <c r="Y17" s="70" t="inlineStr">
        <is>
          <t xml:space="preserve">--</t>
        </is>
      </c>
      <c r="Z17" s="70" t="inlineStr">
        <is>
          <t xml:space="preserve">--</t>
        </is>
      </c>
      <c r="AA17" s="70" t="inlineStr">
        <is>
          <t xml:space="preserve">--</t>
        </is>
      </c>
      <c r="AB17" s="70" t="inlineStr">
        <is>
          <t xml:space="preserve">--</t>
        </is>
      </c>
      <c r="AC17" s="70" t="inlineStr">
        <is>
          <t xml:space="preserve">--</t>
        </is>
      </c>
      <c r="AD17" s="70" t="inlineStr">
        <is>
          <t xml:space="preserve">--</t>
        </is>
      </c>
      <c r="AE17" s="70" t="inlineStr">
        <is>
          <t xml:space="preserve">--</t>
        </is>
      </c>
      <c r="AF17" s="70" t="inlineStr">
        <is>
          <t xml:space="preserve">--</t>
        </is>
      </c>
      <c r="AG17" s="70" t="inlineStr">
        <is>
          <t xml:space="preserve">--</t>
        </is>
      </c>
      <c r="AH17" s="70" t="inlineStr">
        <is>
          <t xml:space="preserve">--</t>
        </is>
      </c>
      <c r="AI17" s="57"/>
      <c r="AJ17" s="58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23"/>
      <c r="BC17" s="23"/>
      <c r="BD17" s="59"/>
      <c r="BE17" s="59"/>
      <c r="BF17" s="59"/>
      <c r="BG17" s="60"/>
    </row>
    <row r="18" ht="55.5" spans="1:59">
      <c r="A18" s="67"/>
      <c r="B18" s="50"/>
      <c r="C18" s="68" t="inlineStr">
        <is>
          <t xml:space="preserve">扣除
工时/分钟</t>
        </is>
      </c>
      <c r="D18" s="70"/>
      <c r="E18" s="70"/>
      <c r="F18" s="70"/>
      <c r="G18" s="70"/>
      <c r="H18" s="70"/>
      <c r="I18" s="70"/>
      <c r="J18" s="70">
        <v>20</v>
      </c>
      <c r="K18" s="70">
        <v>32</v>
      </c>
      <c r="L18" s="70">
        <v>52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1"/>
      <c r="AJ18" s="72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23"/>
      <c r="BC18" s="23"/>
      <c r="BD18" s="73"/>
      <c r="BE18" s="73"/>
      <c r="BF18" s="73"/>
      <c r="BG18" s="60"/>
    </row>
    <row r="19" ht="50" customHeight="1" spans="1:59">
      <c r="A19" s="38">
        <v>2</v>
      </c>
      <c r="B19" s="38" t="inlineStr">
        <is>
          <t xml:space="preserve">唐亦禾</t>
        </is>
      </c>
      <c r="C19" s="39" t="inlineStr">
        <is>
          <t xml:space="preserve">上午</t>
        </is>
      </c>
      <c r="D19" s="70" t="inlineStr">
        <is>
          <t xml:space="preserve">08:00</t>
        </is>
      </c>
      <c r="E19" s="70" t="inlineStr">
        <is>
          <t xml:space="preserve">08:00</t>
        </is>
      </c>
      <c r="F19" s="70" t="inlineStr">
        <is>
          <t xml:space="preserve">08:00</t>
        </is>
      </c>
      <c r="G19" s="100" t="inlineStr">
        <is>
          <t xml:space="preserve">病假</t>
        </is>
      </c>
      <c r="H19" s="45" t="inlineStr">
        <is>
          <t xml:space="preserve">轮休</t>
        </is>
      </c>
      <c r="I19" s="45" t="inlineStr">
        <is>
          <t xml:space="preserve">年假</t>
        </is>
      </c>
      <c r="J19" s="45" t="inlineStr">
        <is>
          <t xml:space="preserve">市内出差</t>
        </is>
      </c>
      <c r="K19" s="45" t="inlineStr">
        <is>
          <t xml:space="preserve">学习</t>
        </is>
      </c>
      <c r="L19" s="90" t="inlineStr">
        <is>
          <t xml:space="preserve">调休</t>
        </is>
      </c>
      <c r="M19" s="45" t="inlineStr">
        <is>
          <t xml:space="preserve">法定节假日</t>
        </is>
      </c>
      <c r="N19" s="111" t="inlineStr">
        <is>
          <t xml:space="preserve">旷工</t>
        </is>
      </c>
      <c r="O19" s="70" t="inlineStr">
        <is>
          <t xml:space="preserve">08:00</t>
        </is>
      </c>
      <c r="P19" s="70" t="inlineStr">
        <is>
          <t xml:space="preserve">08:00</t>
        </is>
      </c>
      <c r="Q19" s="70" t="inlineStr">
        <is>
          <t xml:space="preserve">08:18</t>
        </is>
      </c>
      <c r="R19" s="70" t="inlineStr">
        <is>
          <t xml:space="preserve">08:00</t>
        </is>
      </c>
      <c r="S19" s="70" t="inlineStr">
        <is>
          <t xml:space="preserve">--</t>
        </is>
      </c>
      <c r="T19" s="70" t="inlineStr">
        <is>
          <t xml:space="preserve">--</t>
        </is>
      </c>
      <c r="U19" s="70" t="inlineStr">
        <is>
          <t xml:space="preserve">--</t>
        </is>
      </c>
      <c r="V19" s="70" t="inlineStr">
        <is>
          <t xml:space="preserve">--</t>
        </is>
      </c>
      <c r="W19" s="70" t="inlineStr">
        <is>
          <t xml:space="preserve">--</t>
        </is>
      </c>
      <c r="X19" s="70" t="inlineStr">
        <is>
          <t xml:space="preserve">--</t>
        </is>
      </c>
      <c r="Y19" s="70" t="inlineStr">
        <is>
          <t xml:space="preserve">--</t>
        </is>
      </c>
      <c r="Z19" s="70" t="inlineStr">
        <is>
          <t xml:space="preserve">--</t>
        </is>
      </c>
      <c r="AA19" s="70" t="inlineStr">
        <is>
          <t xml:space="preserve">--</t>
        </is>
      </c>
      <c r="AB19" s="70" t="inlineStr">
        <is>
          <t xml:space="preserve">--</t>
        </is>
      </c>
      <c r="AC19" s="70" t="inlineStr">
        <is>
          <t xml:space="preserve">--</t>
        </is>
      </c>
      <c r="AD19" s="70" t="inlineStr">
        <is>
          <t xml:space="preserve">--</t>
        </is>
      </c>
      <c r="AE19" s="70" t="inlineStr">
        <is>
          <t xml:space="preserve">--</t>
        </is>
      </c>
      <c r="AF19" s="70" t="inlineStr">
        <is>
          <t xml:space="preserve">--</t>
        </is>
      </c>
      <c r="AG19" s="70" t="inlineStr">
        <is>
          <t xml:space="preserve">--</t>
        </is>
      </c>
      <c r="AH19" s="70" t="inlineStr">
        <is>
          <t xml:space="preserve">--</t>
        </is>
      </c>
      <c r="AI19" s="45" t="inlineStr">
        <is>
          <t xml:space="preserve">25天</t>
        </is>
      </c>
      <c r="AJ19" s="46"/>
      <c r="AK19" s="47" t="inlineStr">
        <is>
          <t xml:space="preserve">7天</t>
        </is>
      </c>
      <c r="AL19" s="47" t="inlineStr">
        <is>
          <t xml:space="preserve">1天</t>
        </is>
      </c>
      <c r="AM19" s="47" t="inlineStr">
        <is>
          <t xml:space="preserve">2天</t>
        </is>
      </c>
      <c r="AN19" s="47" t="inlineStr">
        <is>
          <t xml:space="preserve">1天</t>
        </is>
      </c>
      <c r="AO19" s="47"/>
      <c r="AP19" s="47" t="inlineStr">
        <is>
          <t xml:space="preserve">1天</t>
        </is>
      </c>
      <c r="AQ19" s="47" t="inlineStr">
        <is>
          <t xml:space="preserve">1天</t>
        </is>
      </c>
      <c r="AR19" s="47">
        <v>2</v>
      </c>
      <c r="AS19" s="47"/>
      <c r="AT19" s="47"/>
      <c r="AU19" s="47">
        <v>4</v>
      </c>
      <c r="AV19" s="47"/>
      <c r="AW19" s="47"/>
      <c r="AX19" s="47"/>
      <c r="AY19" s="47">
        <v>5</v>
      </c>
      <c r="AZ19" s="47">
        <v>1</v>
      </c>
      <c r="BA19" s="47">
        <v>0.5</v>
      </c>
      <c r="BB19" s="23">
        <v>0</v>
      </c>
      <c r="BC19" s="23">
        <v>0</v>
      </c>
      <c r="BD19" s="47"/>
      <c r="BE19" s="47">
        <f>ROUND(BB19+BC19,2)</f>
        <v>0</v>
      </c>
      <c r="BF19" s="47">
        <f>MAX(0,BD19-BE19)</f>
        <v>0</v>
      </c>
      <c r="BG19" s="49" t="inlineStr">
        <is>
          <t xml:space="preserve">调休时间透支 4 小时</t>
        </is>
      </c>
    </row>
    <row r="20" ht="50" customHeight="1" spans="1:59">
      <c r="A20" s="50"/>
      <c r="B20" s="50"/>
      <c r="C20" s="39" t="inlineStr">
        <is>
          <t xml:space="preserve">上午</t>
        </is>
      </c>
      <c r="D20" s="70" t="inlineStr">
        <is>
          <t xml:space="preserve">正常</t>
        </is>
      </c>
      <c r="E20" s="70" t="inlineStr">
        <is>
          <t xml:space="preserve">正常</t>
        </is>
      </c>
      <c r="F20" s="70" t="inlineStr">
        <is>
          <t xml:space="preserve">正常</t>
        </is>
      </c>
      <c r="G20" s="70"/>
      <c r="H20" s="70"/>
      <c r="I20" s="70"/>
      <c r="J20" s="70"/>
      <c r="K20" s="70"/>
      <c r="L20" s="70"/>
      <c r="M20" s="70"/>
      <c r="N20" s="70"/>
      <c r="O20" s="70" t="inlineStr">
        <is>
          <t xml:space="preserve">正常</t>
        </is>
      </c>
      <c r="P20" s="111" t="inlineStr">
        <is>
          <t xml:space="preserve">正常</t>
        </is>
      </c>
      <c r="Q20" s="111" t="inlineStr">
        <is>
          <t xml:space="preserve">迟到18分钟</t>
        </is>
      </c>
      <c r="R20" s="70" t="inlineStr">
        <is>
          <t xml:space="preserve">正常</t>
        </is>
      </c>
      <c r="S20" s="70" t="inlineStr">
        <is>
          <t xml:space="preserve">--</t>
        </is>
      </c>
      <c r="T20" s="70" t="inlineStr">
        <is>
          <t xml:space="preserve">--</t>
        </is>
      </c>
      <c r="U20" s="70" t="inlineStr">
        <is>
          <t xml:space="preserve">--</t>
        </is>
      </c>
      <c r="V20" s="70" t="inlineStr">
        <is>
          <t xml:space="preserve">--</t>
        </is>
      </c>
      <c r="W20" s="70" t="inlineStr">
        <is>
          <t xml:space="preserve">--</t>
        </is>
      </c>
      <c r="X20" s="70" t="inlineStr">
        <is>
          <t xml:space="preserve">--</t>
        </is>
      </c>
      <c r="Y20" s="70" t="inlineStr">
        <is>
          <t xml:space="preserve">--</t>
        </is>
      </c>
      <c r="Z20" s="70" t="inlineStr">
        <is>
          <t xml:space="preserve">--</t>
        </is>
      </c>
      <c r="AA20" s="70" t="inlineStr">
        <is>
          <t xml:space="preserve">--</t>
        </is>
      </c>
      <c r="AB20" s="70" t="inlineStr">
        <is>
          <t xml:space="preserve">--</t>
        </is>
      </c>
      <c r="AC20" s="70" t="inlineStr">
        <is>
          <t xml:space="preserve">--</t>
        </is>
      </c>
      <c r="AD20" s="70" t="inlineStr">
        <is>
          <t xml:space="preserve">--</t>
        </is>
      </c>
      <c r="AE20" s="70" t="inlineStr">
        <is>
          <t xml:space="preserve">--</t>
        </is>
      </c>
      <c r="AF20" s="70" t="inlineStr">
        <is>
          <t xml:space="preserve">--</t>
        </is>
      </c>
      <c r="AG20" s="70" t="inlineStr">
        <is>
          <t xml:space="preserve">--</t>
        </is>
      </c>
      <c r="AH20" s="70" t="inlineStr">
        <is>
          <t xml:space="preserve">--</t>
        </is>
      </c>
      <c r="AI20" s="57"/>
      <c r="AJ20" s="58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23"/>
      <c r="BC20" s="23"/>
      <c r="BD20" s="59"/>
      <c r="BE20" s="59"/>
      <c r="BF20" s="59"/>
      <c r="BG20" s="60"/>
    </row>
    <row r="21" ht="50" customHeight="1" spans="1:59">
      <c r="A21" s="50"/>
      <c r="B21" s="50"/>
      <c r="C21" s="39" t="inlineStr">
        <is>
          <t xml:space="preserve">下午</t>
        </is>
      </c>
      <c r="D21" s="70" t="inlineStr">
        <is>
          <t xml:space="preserve">18:05</t>
        </is>
      </c>
      <c r="E21" s="70" t="inlineStr">
        <is>
          <t xml:space="preserve">18:05</t>
        </is>
      </c>
      <c r="F21" s="70" t="inlineStr">
        <is>
          <t xml:space="preserve">18:05</t>
        </is>
      </c>
      <c r="G21" s="70"/>
      <c r="H21" s="70"/>
      <c r="I21" s="70"/>
      <c r="J21" s="70"/>
      <c r="K21" s="70"/>
      <c r="L21" s="70"/>
      <c r="M21" s="70"/>
      <c r="N21" s="70"/>
      <c r="O21" s="70" t="inlineStr">
        <is>
          <t xml:space="preserve">13:00</t>
        </is>
      </c>
      <c r="P21" s="70" t="inlineStr">
        <is>
          <t xml:space="preserve">17:31</t>
        </is>
      </c>
      <c r="Q21" s="70" t="inlineStr">
        <is>
          <t xml:space="preserve">17:31</t>
        </is>
      </c>
      <c r="R21" s="70" t="inlineStr">
        <is>
          <t xml:space="preserve">18:05</t>
        </is>
      </c>
      <c r="S21" s="70" t="inlineStr">
        <is>
          <t xml:space="preserve">--</t>
        </is>
      </c>
      <c r="T21" s="70" t="inlineStr">
        <is>
          <t xml:space="preserve">--</t>
        </is>
      </c>
      <c r="U21" s="70" t="inlineStr">
        <is>
          <t xml:space="preserve">--</t>
        </is>
      </c>
      <c r="V21" s="70" t="inlineStr">
        <is>
          <t xml:space="preserve">--</t>
        </is>
      </c>
      <c r="W21" s="70" t="inlineStr">
        <is>
          <t xml:space="preserve">--</t>
        </is>
      </c>
      <c r="X21" s="70" t="inlineStr">
        <is>
          <t xml:space="preserve">--</t>
        </is>
      </c>
      <c r="Y21" s="70" t="inlineStr">
        <is>
          <t xml:space="preserve">--</t>
        </is>
      </c>
      <c r="Z21" s="70" t="inlineStr">
        <is>
          <t xml:space="preserve">--</t>
        </is>
      </c>
      <c r="AA21" s="70" t="inlineStr">
        <is>
          <t xml:space="preserve">--</t>
        </is>
      </c>
      <c r="AB21" s="70" t="inlineStr">
        <is>
          <t xml:space="preserve">--</t>
        </is>
      </c>
      <c r="AC21" s="70" t="inlineStr">
        <is>
          <t xml:space="preserve">--</t>
        </is>
      </c>
      <c r="AD21" s="70" t="inlineStr">
        <is>
          <t xml:space="preserve">--</t>
        </is>
      </c>
      <c r="AE21" s="70" t="inlineStr">
        <is>
          <t xml:space="preserve">--</t>
        </is>
      </c>
      <c r="AF21" s="70" t="inlineStr">
        <is>
          <t xml:space="preserve">--</t>
        </is>
      </c>
      <c r="AG21" s="70" t="inlineStr">
        <is>
          <t xml:space="preserve">--</t>
        </is>
      </c>
      <c r="AH21" s="70" t="inlineStr">
        <is>
          <t xml:space="preserve">--</t>
        </is>
      </c>
      <c r="AI21" s="57"/>
      <c r="AJ21" s="58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23"/>
      <c r="BC21" s="23"/>
      <c r="BD21" s="59"/>
      <c r="BE21" s="59"/>
      <c r="BF21" s="59"/>
      <c r="BG21" s="60"/>
    </row>
    <row r="22" ht="50" customHeight="1" spans="1:59">
      <c r="A22" s="50"/>
      <c r="B22" s="50"/>
      <c r="C22" s="39" t="inlineStr">
        <is>
          <t xml:space="preserve">下午</t>
        </is>
      </c>
      <c r="D22" s="70" t="inlineStr">
        <is>
          <t xml:space="preserve">正常</t>
        </is>
      </c>
      <c r="E22" s="70" t="inlineStr">
        <is>
          <t xml:space="preserve">正常</t>
        </is>
      </c>
      <c r="F22" s="70" t="inlineStr">
        <is>
          <t xml:space="preserve">正常</t>
        </is>
      </c>
      <c r="G22" s="70"/>
      <c r="H22" s="70"/>
      <c r="I22" s="70"/>
      <c r="J22" s="70"/>
      <c r="K22" s="70"/>
      <c r="L22" s="70"/>
      <c r="M22" s="70"/>
      <c r="N22" s="70"/>
      <c r="O22" s="70" t="inlineStr">
        <is>
          <t xml:space="preserve">正常</t>
        </is>
      </c>
      <c r="P22" s="111" t="inlineStr">
        <is>
          <t xml:space="preserve">早退29分钟</t>
        </is>
      </c>
      <c r="Q22" s="111" t="inlineStr">
        <is>
          <t xml:space="preserve">早退29分钟</t>
        </is>
      </c>
      <c r="R22" s="70" t="inlineStr">
        <is>
          <t xml:space="preserve">正常</t>
        </is>
      </c>
      <c r="S22" s="70" t="inlineStr">
        <is>
          <t xml:space="preserve">--</t>
        </is>
      </c>
      <c r="T22" s="70" t="inlineStr">
        <is>
          <t xml:space="preserve">--</t>
        </is>
      </c>
      <c r="U22" s="70" t="inlineStr">
        <is>
          <t xml:space="preserve">--</t>
        </is>
      </c>
      <c r="V22" s="70" t="inlineStr">
        <is>
          <t xml:space="preserve">--</t>
        </is>
      </c>
      <c r="W22" s="70" t="inlineStr">
        <is>
          <t xml:space="preserve">--</t>
        </is>
      </c>
      <c r="X22" s="70" t="inlineStr">
        <is>
          <t xml:space="preserve">--</t>
        </is>
      </c>
      <c r="Y22" s="70" t="inlineStr">
        <is>
          <t xml:space="preserve">--</t>
        </is>
      </c>
      <c r="Z22" s="70" t="inlineStr">
        <is>
          <t xml:space="preserve">--</t>
        </is>
      </c>
      <c r="AA22" s="70" t="inlineStr">
        <is>
          <t xml:space="preserve">--</t>
        </is>
      </c>
      <c r="AB22" s="70" t="inlineStr">
        <is>
          <t xml:space="preserve">--</t>
        </is>
      </c>
      <c r="AC22" s="70" t="inlineStr">
        <is>
          <t xml:space="preserve">--</t>
        </is>
      </c>
      <c r="AD22" s="70" t="inlineStr">
        <is>
          <t xml:space="preserve">--</t>
        </is>
      </c>
      <c r="AE22" s="70" t="inlineStr">
        <is>
          <t xml:space="preserve">--</t>
        </is>
      </c>
      <c r="AF22" s="70" t="inlineStr">
        <is>
          <t xml:space="preserve">--</t>
        </is>
      </c>
      <c r="AG22" s="70" t="inlineStr">
        <is>
          <t xml:space="preserve">--</t>
        </is>
      </c>
      <c r="AH22" s="70" t="inlineStr">
        <is>
          <t xml:space="preserve">--</t>
        </is>
      </c>
      <c r="AI22" s="57"/>
      <c r="AJ22" s="58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23"/>
      <c r="BC22" s="23"/>
      <c r="BD22" s="59"/>
      <c r="BE22" s="59"/>
      <c r="BF22" s="59"/>
      <c r="BG22" s="60"/>
    </row>
    <row r="23" ht="55.5" spans="1:59">
      <c r="A23" s="67"/>
      <c r="B23" s="50"/>
      <c r="C23" s="68" t="inlineStr">
        <is>
          <t xml:space="preserve">扣除
工时/分钟</t>
        </is>
      </c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>
        <v>29</v>
      </c>
      <c r="Q23" s="70">
        <v>47</v>
      </c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1"/>
      <c r="AJ23" s="72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23"/>
      <c r="BC23" s="23"/>
      <c r="BD23" s="73"/>
      <c r="BE23" s="73"/>
      <c r="BF23" s="73"/>
      <c r="BG23" s="60"/>
    </row>
    <row r="24" ht="50" customHeight="1" spans="1:59">
      <c r="A24" s="38">
        <v>3</v>
      </c>
      <c r="B24" s="38" t="inlineStr">
        <is>
          <t xml:space="preserve">许洛川</t>
        </is>
      </c>
      <c r="C24" s="39" t="inlineStr">
        <is>
          <t xml:space="preserve">上午</t>
        </is>
      </c>
      <c r="D24" s="70" t="inlineStr">
        <is>
          <t xml:space="preserve">07:56</t>
        </is>
      </c>
      <c r="E24" s="70" t="inlineStr">
        <is>
          <t xml:space="preserve">07:56</t>
        </is>
      </c>
      <c r="F24" s="70" t="inlineStr">
        <is>
          <t xml:space="preserve">07:56</t>
        </is>
      </c>
      <c r="G24" s="70" t="inlineStr">
        <is>
          <t xml:space="preserve">07:56</t>
        </is>
      </c>
      <c r="H24" s="45" t="inlineStr">
        <is>
          <t xml:space="preserve">轮休</t>
        </is>
      </c>
      <c r="I24" s="70" t="inlineStr">
        <is>
          <t xml:space="preserve">07:56</t>
        </is>
      </c>
      <c r="J24" s="70" t="inlineStr">
        <is>
          <t xml:space="preserve">07:56</t>
        </is>
      </c>
      <c r="K24" s="70" t="inlineStr">
        <is>
          <t xml:space="preserve">07:56</t>
        </is>
      </c>
      <c r="L24" s="100" t="inlineStr">
        <is>
          <t xml:space="preserve">病假</t>
        </is>
      </c>
      <c r="M24" s="70" t="inlineStr">
        <is>
          <t xml:space="preserve">09:00</t>
        </is>
      </c>
      <c r="N24" s="45" t="inlineStr">
        <is>
          <t xml:space="preserve">年假</t>
        </is>
      </c>
      <c r="O24" s="45" t="inlineStr">
        <is>
          <t xml:space="preserve">轮休</t>
        </is>
      </c>
      <c r="P24" s="45" t="inlineStr">
        <is>
          <t xml:space="preserve">学习</t>
        </is>
      </c>
      <c r="Q24" s="90" t="inlineStr">
        <is>
          <t xml:space="preserve">调休</t>
        </is>
      </c>
      <c r="R24" s="45" t="inlineStr">
        <is>
          <t xml:space="preserve">法定节假日</t>
        </is>
      </c>
      <c r="S24" s="70" t="inlineStr">
        <is>
          <t xml:space="preserve">--</t>
        </is>
      </c>
      <c r="T24" s="70" t="inlineStr">
        <is>
          <t xml:space="preserve">--</t>
        </is>
      </c>
      <c r="U24" s="70" t="inlineStr">
        <is>
          <t xml:space="preserve">--</t>
        </is>
      </c>
      <c r="V24" s="70" t="inlineStr">
        <is>
          <t xml:space="preserve">--</t>
        </is>
      </c>
      <c r="W24" s="70" t="inlineStr">
        <is>
          <t xml:space="preserve">--</t>
        </is>
      </c>
      <c r="X24" s="70" t="inlineStr">
        <is>
          <t xml:space="preserve">--</t>
        </is>
      </c>
      <c r="Y24" s="70" t="inlineStr">
        <is>
          <t xml:space="preserve">--</t>
        </is>
      </c>
      <c r="Z24" s="70" t="inlineStr">
        <is>
          <t xml:space="preserve">--</t>
        </is>
      </c>
      <c r="AA24" s="70" t="inlineStr">
        <is>
          <t xml:space="preserve">--</t>
        </is>
      </c>
      <c r="AB24" s="70" t="inlineStr">
        <is>
          <t xml:space="preserve">--</t>
        </is>
      </c>
      <c r="AC24" s="70" t="inlineStr">
        <is>
          <t xml:space="preserve">--</t>
        </is>
      </c>
      <c r="AD24" s="70" t="inlineStr">
        <is>
          <t xml:space="preserve">--</t>
        </is>
      </c>
      <c r="AE24" s="70" t="inlineStr">
        <is>
          <t xml:space="preserve">--</t>
        </is>
      </c>
      <c r="AF24" s="70" t="inlineStr">
        <is>
          <t xml:space="preserve">--</t>
        </is>
      </c>
      <c r="AG24" s="70" t="inlineStr">
        <is>
          <t xml:space="preserve">--</t>
        </is>
      </c>
      <c r="AH24" s="70" t="inlineStr">
        <is>
          <t xml:space="preserve">--</t>
        </is>
      </c>
      <c r="AI24" s="45" t="inlineStr">
        <is>
          <t xml:space="preserve">25天</t>
        </is>
      </c>
      <c r="AJ24" s="46"/>
      <c r="AK24" s="47" t="inlineStr">
        <is>
          <t xml:space="preserve">8天</t>
        </is>
      </c>
      <c r="AL24" s="47" t="inlineStr">
        <is>
          <t xml:space="preserve">2天</t>
        </is>
      </c>
      <c r="AM24" s="47" t="inlineStr">
        <is>
          <t xml:space="preserve">2天</t>
        </is>
      </c>
      <c r="AN24" s="47" t="inlineStr">
        <is>
          <t xml:space="preserve">1天</t>
        </is>
      </c>
      <c r="AO24" s="47"/>
      <c r="AP24" s="47" t="inlineStr">
        <is>
          <t xml:space="preserve">1天</t>
        </is>
      </c>
      <c r="AQ24" s="47"/>
      <c r="AR24" s="47"/>
      <c r="AS24" s="47"/>
      <c r="AT24" s="47">
        <v>3</v>
      </c>
      <c r="AU24" s="47"/>
      <c r="AV24" s="47">
        <v>4</v>
      </c>
      <c r="AW24" s="47"/>
      <c r="AX24" s="47">
        <v>2</v>
      </c>
      <c r="AY24" s="47">
        <v>5</v>
      </c>
      <c r="AZ24" s="47"/>
      <c r="BA24" s="47"/>
      <c r="BB24" s="23">
        <v>1.5</v>
      </c>
      <c r="BC24" s="23">
        <v>3</v>
      </c>
      <c r="BD24" s="47">
        <v>12.5</v>
      </c>
      <c r="BE24" s="47">
        <f>ROUND(BB24+BC24,2)</f>
        <v>4.5</v>
      </c>
      <c r="BF24" s="47">
        <f>MAX(0,BD24-BE24)</f>
        <v>8</v>
      </c>
      <c r="BG24" s="49" t="inlineStr">
        <is>
          <t xml:space="preserve">尚有 8 小时倒挂工时待抵扣</t>
        </is>
      </c>
    </row>
    <row r="25" ht="50" customHeight="1" spans="1:59">
      <c r="A25" s="50"/>
      <c r="B25" s="50"/>
      <c r="C25" s="39" t="inlineStr">
        <is>
          <t xml:space="preserve">上午</t>
        </is>
      </c>
      <c r="D25" s="70" t="inlineStr">
        <is>
          <t xml:space="preserve">正常</t>
        </is>
      </c>
      <c r="E25" s="70" t="inlineStr">
        <is>
          <t xml:space="preserve">正常</t>
        </is>
      </c>
      <c r="F25" s="70" t="inlineStr">
        <is>
          <t xml:space="preserve">正常</t>
        </is>
      </c>
      <c r="G25" s="70" t="inlineStr">
        <is>
          <t xml:space="preserve">正常</t>
        </is>
      </c>
      <c r="H25" s="70"/>
      <c r="I25" s="70" t="inlineStr">
        <is>
          <t xml:space="preserve">正常</t>
        </is>
      </c>
      <c r="J25" s="70" t="inlineStr">
        <is>
          <t xml:space="preserve">正常</t>
        </is>
      </c>
      <c r="K25" s="70" t="inlineStr">
        <is>
          <t xml:space="preserve">正常</t>
        </is>
      </c>
      <c r="L25" s="70"/>
      <c r="M25" s="70" t="inlineStr">
        <is>
          <t xml:space="preserve">正常</t>
        </is>
      </c>
      <c r="N25" s="70"/>
      <c r="O25" s="70"/>
      <c r="P25" s="70"/>
      <c r="Q25" s="70"/>
      <c r="R25" s="70"/>
      <c r="S25" s="70" t="inlineStr">
        <is>
          <t xml:space="preserve">--</t>
        </is>
      </c>
      <c r="T25" s="70" t="inlineStr">
        <is>
          <t xml:space="preserve">--</t>
        </is>
      </c>
      <c r="U25" s="70" t="inlineStr">
        <is>
          <t xml:space="preserve">--</t>
        </is>
      </c>
      <c r="V25" s="70" t="inlineStr">
        <is>
          <t xml:space="preserve">--</t>
        </is>
      </c>
      <c r="W25" s="70" t="inlineStr">
        <is>
          <t xml:space="preserve">--</t>
        </is>
      </c>
      <c r="X25" s="70" t="inlineStr">
        <is>
          <t xml:space="preserve">--</t>
        </is>
      </c>
      <c r="Y25" s="70" t="inlineStr">
        <is>
          <t xml:space="preserve">--</t>
        </is>
      </c>
      <c r="Z25" s="70" t="inlineStr">
        <is>
          <t xml:space="preserve">--</t>
        </is>
      </c>
      <c r="AA25" s="70" t="inlineStr">
        <is>
          <t xml:space="preserve">--</t>
        </is>
      </c>
      <c r="AB25" s="70" t="inlineStr">
        <is>
          <t xml:space="preserve">--</t>
        </is>
      </c>
      <c r="AC25" s="70" t="inlineStr">
        <is>
          <t xml:space="preserve">--</t>
        </is>
      </c>
      <c r="AD25" s="70" t="inlineStr">
        <is>
          <t xml:space="preserve">--</t>
        </is>
      </c>
      <c r="AE25" s="70" t="inlineStr">
        <is>
          <t xml:space="preserve">--</t>
        </is>
      </c>
      <c r="AF25" s="70" t="inlineStr">
        <is>
          <t xml:space="preserve">--</t>
        </is>
      </c>
      <c r="AG25" s="70" t="inlineStr">
        <is>
          <t xml:space="preserve">--</t>
        </is>
      </c>
      <c r="AH25" s="70" t="inlineStr">
        <is>
          <t xml:space="preserve">--</t>
        </is>
      </c>
      <c r="AI25" s="57"/>
      <c r="AJ25" s="58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23"/>
      <c r="BC25" s="23"/>
      <c r="BD25" s="59"/>
      <c r="BE25" s="59"/>
      <c r="BF25" s="59"/>
      <c r="BG25" s="60"/>
    </row>
    <row r="26" ht="50" customHeight="1" spans="1:59">
      <c r="A26" s="50"/>
      <c r="B26" s="50"/>
      <c r="C26" s="39" t="inlineStr">
        <is>
          <t xml:space="preserve">下午</t>
        </is>
      </c>
      <c r="D26" s="70" t="inlineStr">
        <is>
          <t xml:space="preserve">18:05</t>
        </is>
      </c>
      <c r="E26" s="70" t="inlineStr">
        <is>
          <t xml:space="preserve">18:05</t>
        </is>
      </c>
      <c r="F26" s="70" t="inlineStr">
        <is>
          <t xml:space="preserve">18:05</t>
        </is>
      </c>
      <c r="G26" s="70" t="inlineStr">
        <is>
          <t xml:space="preserve">19:30</t>
        </is>
      </c>
      <c r="H26" s="70"/>
      <c r="I26" s="70" t="inlineStr">
        <is>
          <t xml:space="preserve">18:05</t>
        </is>
      </c>
      <c r="J26" s="70" t="inlineStr">
        <is>
          <t xml:space="preserve">18:05</t>
        </is>
      </c>
      <c r="K26" s="70" t="inlineStr">
        <is>
          <t xml:space="preserve">19:30</t>
        </is>
      </c>
      <c r="L26" s="70"/>
      <c r="M26" s="70" t="inlineStr">
        <is>
          <t xml:space="preserve">13:00</t>
        </is>
      </c>
      <c r="N26" s="70"/>
      <c r="O26" s="70"/>
      <c r="P26" s="70"/>
      <c r="Q26" s="70"/>
      <c r="R26" s="70"/>
      <c r="S26" s="70" t="inlineStr">
        <is>
          <t xml:space="preserve">--</t>
        </is>
      </c>
      <c r="T26" s="70" t="inlineStr">
        <is>
          <t xml:space="preserve">--</t>
        </is>
      </c>
      <c r="U26" s="70" t="inlineStr">
        <is>
          <t xml:space="preserve">--</t>
        </is>
      </c>
      <c r="V26" s="70" t="inlineStr">
        <is>
          <t xml:space="preserve">--</t>
        </is>
      </c>
      <c r="W26" s="70" t="inlineStr">
        <is>
          <t xml:space="preserve">--</t>
        </is>
      </c>
      <c r="X26" s="70" t="inlineStr">
        <is>
          <t xml:space="preserve">--</t>
        </is>
      </c>
      <c r="Y26" s="70" t="inlineStr">
        <is>
          <t xml:space="preserve">--</t>
        </is>
      </c>
      <c r="Z26" s="70" t="inlineStr">
        <is>
          <t xml:space="preserve">--</t>
        </is>
      </c>
      <c r="AA26" s="70" t="inlineStr">
        <is>
          <t xml:space="preserve">--</t>
        </is>
      </c>
      <c r="AB26" s="70" t="inlineStr">
        <is>
          <t xml:space="preserve">--</t>
        </is>
      </c>
      <c r="AC26" s="70" t="inlineStr">
        <is>
          <t xml:space="preserve">--</t>
        </is>
      </c>
      <c r="AD26" s="70" t="inlineStr">
        <is>
          <t xml:space="preserve">--</t>
        </is>
      </c>
      <c r="AE26" s="70" t="inlineStr">
        <is>
          <t xml:space="preserve">--</t>
        </is>
      </c>
      <c r="AF26" s="70" t="inlineStr">
        <is>
          <t xml:space="preserve">--</t>
        </is>
      </c>
      <c r="AG26" s="70" t="inlineStr">
        <is>
          <t xml:space="preserve">--</t>
        </is>
      </c>
      <c r="AH26" s="70" t="inlineStr">
        <is>
          <t xml:space="preserve">--</t>
        </is>
      </c>
      <c r="AI26" s="57"/>
      <c r="AJ26" s="58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23"/>
      <c r="BC26" s="23"/>
      <c r="BD26" s="59"/>
      <c r="BE26" s="59"/>
      <c r="BF26" s="59"/>
      <c r="BG26" s="60"/>
    </row>
    <row r="27" ht="50" customHeight="1" spans="1:59">
      <c r="A27" s="50"/>
      <c r="B27" s="50"/>
      <c r="C27" s="39" t="inlineStr">
        <is>
          <t xml:space="preserve">下午</t>
        </is>
      </c>
      <c r="D27" s="70" t="inlineStr">
        <is>
          <t xml:space="preserve">正常</t>
        </is>
      </c>
      <c r="E27" s="70" t="inlineStr">
        <is>
          <t xml:space="preserve">正常</t>
        </is>
      </c>
      <c r="F27" s="70" t="inlineStr">
        <is>
          <t xml:space="preserve">正常</t>
        </is>
      </c>
      <c r="G27" s="70" t="inlineStr">
        <is>
          <t xml:space="preserve">正常</t>
        </is>
      </c>
      <c r="H27" s="70"/>
      <c r="I27" s="70" t="inlineStr">
        <is>
          <t xml:space="preserve">正常</t>
        </is>
      </c>
      <c r="J27" s="70" t="inlineStr">
        <is>
          <t xml:space="preserve">正常</t>
        </is>
      </c>
      <c r="K27" s="70" t="inlineStr">
        <is>
          <t xml:space="preserve">正常</t>
        </is>
      </c>
      <c r="L27" s="70"/>
      <c r="M27" s="70" t="inlineStr">
        <is>
          <t xml:space="preserve">正常</t>
        </is>
      </c>
      <c r="N27" s="70"/>
      <c r="O27" s="70"/>
      <c r="P27" s="70"/>
      <c r="Q27" s="70"/>
      <c r="R27" s="70"/>
      <c r="S27" s="70" t="inlineStr">
        <is>
          <t xml:space="preserve">--</t>
        </is>
      </c>
      <c r="T27" s="70" t="inlineStr">
        <is>
          <t xml:space="preserve">--</t>
        </is>
      </c>
      <c r="U27" s="70" t="inlineStr">
        <is>
          <t xml:space="preserve">--</t>
        </is>
      </c>
      <c r="V27" s="70" t="inlineStr">
        <is>
          <t xml:space="preserve">--</t>
        </is>
      </c>
      <c r="W27" s="70" t="inlineStr">
        <is>
          <t xml:space="preserve">--</t>
        </is>
      </c>
      <c r="X27" s="70" t="inlineStr">
        <is>
          <t xml:space="preserve">--</t>
        </is>
      </c>
      <c r="Y27" s="70" t="inlineStr">
        <is>
          <t xml:space="preserve">--</t>
        </is>
      </c>
      <c r="Z27" s="70" t="inlineStr">
        <is>
          <t xml:space="preserve">--</t>
        </is>
      </c>
      <c r="AA27" s="70" t="inlineStr">
        <is>
          <t xml:space="preserve">--</t>
        </is>
      </c>
      <c r="AB27" s="70" t="inlineStr">
        <is>
          <t xml:space="preserve">--</t>
        </is>
      </c>
      <c r="AC27" s="70" t="inlineStr">
        <is>
          <t xml:space="preserve">--</t>
        </is>
      </c>
      <c r="AD27" s="70" t="inlineStr">
        <is>
          <t xml:space="preserve">--</t>
        </is>
      </c>
      <c r="AE27" s="70" t="inlineStr">
        <is>
          <t xml:space="preserve">--</t>
        </is>
      </c>
      <c r="AF27" s="70" t="inlineStr">
        <is>
          <t xml:space="preserve">--</t>
        </is>
      </c>
      <c r="AG27" s="70" t="inlineStr">
        <is>
          <t xml:space="preserve">--</t>
        </is>
      </c>
      <c r="AH27" s="70" t="inlineStr">
        <is>
          <t xml:space="preserve">--</t>
        </is>
      </c>
      <c r="AI27" s="57"/>
      <c r="AJ27" s="58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23"/>
      <c r="BC27" s="23"/>
      <c r="BD27" s="59"/>
      <c r="BE27" s="59"/>
      <c r="BF27" s="59"/>
      <c r="BG27" s="60"/>
    </row>
    <row r="28" ht="55.5" spans="1:59">
      <c r="A28" s="67"/>
      <c r="B28" s="50"/>
      <c r="C28" s="68" t="inlineStr">
        <is>
          <t xml:space="preserve">扣除
工时/分钟</t>
        </is>
      </c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1"/>
      <c r="AJ28" s="72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23"/>
      <c r="BC28" s="23"/>
      <c r="BD28" s="73"/>
      <c r="BE28" s="73"/>
      <c r="BF28" s="73"/>
      <c r="BG28" s="60"/>
    </row>
    <row r="29" ht="50" customHeight="1" spans="1:59">
      <c r="A29" s="38">
        <v>4</v>
      </c>
      <c r="B29" s="38" t="inlineStr">
        <is>
          <t xml:space="preserve">林予安</t>
        </is>
      </c>
      <c r="C29" s="39" t="inlineStr">
        <is>
          <t xml:space="preserve">上午</t>
        </is>
      </c>
      <c r="D29" s="45" t="inlineStr">
        <is>
          <t xml:space="preserve">事假</t>
        </is>
      </c>
      <c r="E29" s="45" t="inlineStr">
        <is>
          <t xml:space="preserve">年假</t>
        </is>
      </c>
      <c r="F29" s="45" t="inlineStr">
        <is>
          <t xml:space="preserve">市内出差</t>
        </is>
      </c>
      <c r="G29" s="45" t="inlineStr">
        <is>
          <t xml:space="preserve">学习</t>
        </is>
      </c>
      <c r="H29" s="45" t="inlineStr">
        <is>
          <t xml:space="preserve">轮休</t>
        </is>
      </c>
      <c r="I29" s="45" t="inlineStr">
        <is>
          <t xml:space="preserve">法定节假日</t>
        </is>
      </c>
      <c r="J29" s="111" t="inlineStr">
        <is>
          <t xml:space="preserve">旷工</t>
        </is>
      </c>
      <c r="K29" s="70" t="inlineStr">
        <is>
          <t xml:space="preserve">08:12</t>
        </is>
      </c>
      <c r="L29" s="70" t="inlineStr">
        <is>
          <t xml:space="preserve">07:56</t>
        </is>
      </c>
      <c r="M29" s="70" t="inlineStr">
        <is>
          <t xml:space="preserve">09:00</t>
        </is>
      </c>
      <c r="N29" s="70" t="inlineStr">
        <is>
          <t xml:space="preserve">07:56</t>
        </is>
      </c>
      <c r="O29" s="70" t="inlineStr">
        <is>
          <t xml:space="preserve">08:00</t>
        </is>
      </c>
      <c r="P29" s="70" t="inlineStr">
        <is>
          <t xml:space="preserve">07:56</t>
        </is>
      </c>
      <c r="Q29" s="70" t="inlineStr">
        <is>
          <t xml:space="preserve">07:56</t>
        </is>
      </c>
      <c r="R29" s="70" t="inlineStr">
        <is>
          <t xml:space="preserve">--</t>
        </is>
      </c>
      <c r="S29" s="70" t="inlineStr">
        <is>
          <t xml:space="preserve">--</t>
        </is>
      </c>
      <c r="T29" s="70" t="inlineStr">
        <is>
          <t xml:space="preserve">--</t>
        </is>
      </c>
      <c r="U29" s="70" t="inlineStr">
        <is>
          <t xml:space="preserve">--</t>
        </is>
      </c>
      <c r="V29" s="70" t="inlineStr">
        <is>
          <t xml:space="preserve">--</t>
        </is>
      </c>
      <c r="W29" s="70" t="inlineStr">
        <is>
          <t xml:space="preserve">--</t>
        </is>
      </c>
      <c r="X29" s="70" t="inlineStr">
        <is>
          <t xml:space="preserve">--</t>
        </is>
      </c>
      <c r="Y29" s="70" t="inlineStr">
        <is>
          <t xml:space="preserve">--</t>
        </is>
      </c>
      <c r="Z29" s="70" t="inlineStr">
        <is>
          <t xml:space="preserve">--</t>
        </is>
      </c>
      <c r="AA29" s="70" t="inlineStr">
        <is>
          <t xml:space="preserve">--</t>
        </is>
      </c>
      <c r="AB29" s="70" t="inlineStr">
        <is>
          <t xml:space="preserve">--</t>
        </is>
      </c>
      <c r="AC29" s="70" t="inlineStr">
        <is>
          <t xml:space="preserve">--</t>
        </is>
      </c>
      <c r="AD29" s="70" t="inlineStr">
        <is>
          <t xml:space="preserve">--</t>
        </is>
      </c>
      <c r="AE29" s="70" t="inlineStr">
        <is>
          <t xml:space="preserve">--</t>
        </is>
      </c>
      <c r="AF29" s="70" t="inlineStr">
        <is>
          <t xml:space="preserve">--</t>
        </is>
      </c>
      <c r="AG29" s="70" t="inlineStr">
        <is>
          <t xml:space="preserve">--</t>
        </is>
      </c>
      <c r="AH29" s="70" t="inlineStr">
        <is>
          <t xml:space="preserve">--</t>
        </is>
      </c>
      <c r="AI29" s="45" t="inlineStr">
        <is>
          <t xml:space="preserve">26天</t>
        </is>
      </c>
      <c r="AJ29" s="46"/>
      <c r="AK29" s="47" t="inlineStr">
        <is>
          <t xml:space="preserve">7天</t>
        </is>
      </c>
      <c r="AL29" s="47" t="inlineStr">
        <is>
          <t xml:space="preserve">1天</t>
        </is>
      </c>
      <c r="AM29" s="47" t="inlineStr">
        <is>
          <t xml:space="preserve">1天</t>
        </is>
      </c>
      <c r="AN29" s="47"/>
      <c r="AO29" s="47" t="inlineStr">
        <is>
          <t xml:space="preserve">1天</t>
        </is>
      </c>
      <c r="AP29" s="47" t="inlineStr">
        <is>
          <t xml:space="preserve">1天</t>
        </is>
      </c>
      <c r="AQ29" s="47" t="inlineStr">
        <is>
          <t xml:space="preserve">1天</t>
        </is>
      </c>
      <c r="AR29" s="47">
        <v>2</v>
      </c>
      <c r="AS29" s="47"/>
      <c r="AT29" s="47">
        <v>1.5</v>
      </c>
      <c r="AU29" s="47">
        <v>4</v>
      </c>
      <c r="AV29" s="47">
        <v>4</v>
      </c>
      <c r="AW29" s="47" t="inlineStr">
        <is>
          <t xml:space="preserve">林予安</t>
        </is>
      </c>
      <c r="AX29" s="47"/>
      <c r="AY29" s="47">
        <v>5</v>
      </c>
      <c r="AZ29" s="47"/>
      <c r="BA29" s="47"/>
      <c r="BB29" s="23">
        <v>0</v>
      </c>
      <c r="BC29" s="23">
        <v>0</v>
      </c>
      <c r="BD29" s="47"/>
      <c r="BE29" s="47">
        <f>ROUND(BB29+BC29,2)</f>
        <v>0</v>
      </c>
      <c r="BF29" s="47">
        <f>MAX(0,BD29-BE29)</f>
        <v>0</v>
      </c>
      <c r="BG29" s="49" t="inlineStr">
        <is>
          <t xml:space="preserve">事假半日，按全天示例展示；年假；市内客户现场支持；外部培训学习；周日轮休；法定节假日；待考勤管理员确认；Mock 异常考勤示例；法定节假日加班，计入调休时间；周日加班示例</t>
        </is>
      </c>
    </row>
    <row r="30" ht="50" customHeight="1" spans="1:59">
      <c r="A30" s="50"/>
      <c r="B30" s="50"/>
      <c r="C30" s="39" t="inlineStr">
        <is>
          <t xml:space="preserve">上午</t>
        </is>
      </c>
      <c r="D30" s="70"/>
      <c r="E30" s="70"/>
      <c r="F30" s="70"/>
      <c r="G30" s="70"/>
      <c r="H30" s="70"/>
      <c r="I30" s="70"/>
      <c r="J30" s="70"/>
      <c r="K30" s="111" t="inlineStr">
        <is>
          <t xml:space="preserve">迟到12分钟</t>
        </is>
      </c>
      <c r="L30" s="111" t="inlineStr">
        <is>
          <t xml:space="preserve">正常</t>
        </is>
      </c>
      <c r="M30" s="70" t="inlineStr">
        <is>
          <t xml:space="preserve">正常</t>
        </is>
      </c>
      <c r="N30" s="70" t="inlineStr">
        <is>
          <t xml:space="preserve">正常</t>
        </is>
      </c>
      <c r="O30" s="70" t="inlineStr">
        <is>
          <t xml:space="preserve">正常</t>
        </is>
      </c>
      <c r="P30" s="70" t="inlineStr">
        <is>
          <t xml:space="preserve">正常</t>
        </is>
      </c>
      <c r="Q30" s="70" t="inlineStr">
        <is>
          <t xml:space="preserve">正常</t>
        </is>
      </c>
      <c r="R30" s="70" t="inlineStr">
        <is>
          <t xml:space="preserve">--</t>
        </is>
      </c>
      <c r="S30" s="70" t="inlineStr">
        <is>
          <t xml:space="preserve">--</t>
        </is>
      </c>
      <c r="T30" s="70" t="inlineStr">
        <is>
          <t xml:space="preserve">--</t>
        </is>
      </c>
      <c r="U30" s="70" t="inlineStr">
        <is>
          <t xml:space="preserve">--</t>
        </is>
      </c>
      <c r="V30" s="70" t="inlineStr">
        <is>
          <t xml:space="preserve">--</t>
        </is>
      </c>
      <c r="W30" s="70" t="inlineStr">
        <is>
          <t xml:space="preserve">--</t>
        </is>
      </c>
      <c r="X30" s="70" t="inlineStr">
        <is>
          <t xml:space="preserve">--</t>
        </is>
      </c>
      <c r="Y30" s="70" t="inlineStr">
        <is>
          <t xml:space="preserve">--</t>
        </is>
      </c>
      <c r="Z30" s="70" t="inlineStr">
        <is>
          <t xml:space="preserve">--</t>
        </is>
      </c>
      <c r="AA30" s="70" t="inlineStr">
        <is>
          <t xml:space="preserve">--</t>
        </is>
      </c>
      <c r="AB30" s="70" t="inlineStr">
        <is>
          <t xml:space="preserve">--</t>
        </is>
      </c>
      <c r="AC30" s="70" t="inlineStr">
        <is>
          <t xml:space="preserve">--</t>
        </is>
      </c>
      <c r="AD30" s="70" t="inlineStr">
        <is>
          <t xml:space="preserve">--</t>
        </is>
      </c>
      <c r="AE30" s="70" t="inlineStr">
        <is>
          <t xml:space="preserve">--</t>
        </is>
      </c>
      <c r="AF30" s="70" t="inlineStr">
        <is>
          <t xml:space="preserve">--</t>
        </is>
      </c>
      <c r="AG30" s="70" t="inlineStr">
        <is>
          <t xml:space="preserve">--</t>
        </is>
      </c>
      <c r="AH30" s="70" t="inlineStr">
        <is>
          <t xml:space="preserve">--</t>
        </is>
      </c>
      <c r="AI30" s="57"/>
      <c r="AJ30" s="58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23"/>
      <c r="BC30" s="23"/>
      <c r="BD30" s="59"/>
      <c r="BE30" s="59"/>
      <c r="BF30" s="59"/>
      <c r="BG30" s="60"/>
    </row>
    <row r="31" ht="50" customHeight="1" spans="1:59">
      <c r="A31" s="50"/>
      <c r="B31" s="50"/>
      <c r="C31" s="39" t="inlineStr">
        <is>
          <t xml:space="preserve">下午</t>
        </is>
      </c>
      <c r="D31" s="70"/>
      <c r="E31" s="70"/>
      <c r="F31" s="70"/>
      <c r="G31" s="70"/>
      <c r="H31" s="70"/>
      <c r="I31" s="70"/>
      <c r="J31" s="70"/>
      <c r="K31" s="70" t="inlineStr">
        <is>
          <t xml:space="preserve">19:30</t>
        </is>
      </c>
      <c r="L31" s="70" t="inlineStr">
        <is>
          <t xml:space="preserve">17:40</t>
        </is>
      </c>
      <c r="M31" s="70" t="inlineStr">
        <is>
          <t xml:space="preserve">13:00</t>
        </is>
      </c>
      <c r="N31" s="70" t="inlineStr">
        <is>
          <t xml:space="preserve">18:05</t>
        </is>
      </c>
      <c r="O31" s="70" t="inlineStr">
        <is>
          <t xml:space="preserve">13:00</t>
        </is>
      </c>
      <c r="P31" s="70" t="inlineStr">
        <is>
          <t xml:space="preserve">18:05</t>
        </is>
      </c>
      <c r="Q31" s="70" t="inlineStr">
        <is>
          <t xml:space="preserve">18:05</t>
        </is>
      </c>
      <c r="R31" s="70" t="inlineStr">
        <is>
          <t xml:space="preserve">--</t>
        </is>
      </c>
      <c r="S31" s="70" t="inlineStr">
        <is>
          <t xml:space="preserve">--</t>
        </is>
      </c>
      <c r="T31" s="70" t="inlineStr">
        <is>
          <t xml:space="preserve">--</t>
        </is>
      </c>
      <c r="U31" s="70" t="inlineStr">
        <is>
          <t xml:space="preserve">--</t>
        </is>
      </c>
      <c r="V31" s="70" t="inlineStr">
        <is>
          <t xml:space="preserve">--</t>
        </is>
      </c>
      <c r="W31" s="70" t="inlineStr">
        <is>
          <t xml:space="preserve">--</t>
        </is>
      </c>
      <c r="X31" s="70" t="inlineStr">
        <is>
          <t xml:space="preserve">--</t>
        </is>
      </c>
      <c r="Y31" s="70" t="inlineStr">
        <is>
          <t xml:space="preserve">--</t>
        </is>
      </c>
      <c r="Z31" s="70" t="inlineStr">
        <is>
          <t xml:space="preserve">--</t>
        </is>
      </c>
      <c r="AA31" s="70" t="inlineStr">
        <is>
          <t xml:space="preserve">--</t>
        </is>
      </c>
      <c r="AB31" s="70" t="inlineStr">
        <is>
          <t xml:space="preserve">--</t>
        </is>
      </c>
      <c r="AC31" s="70" t="inlineStr">
        <is>
          <t xml:space="preserve">--</t>
        </is>
      </c>
      <c r="AD31" s="70" t="inlineStr">
        <is>
          <t xml:space="preserve">--</t>
        </is>
      </c>
      <c r="AE31" s="70" t="inlineStr">
        <is>
          <t xml:space="preserve">--</t>
        </is>
      </c>
      <c r="AF31" s="70" t="inlineStr">
        <is>
          <t xml:space="preserve">--</t>
        </is>
      </c>
      <c r="AG31" s="70" t="inlineStr">
        <is>
          <t xml:space="preserve">--</t>
        </is>
      </c>
      <c r="AH31" s="70" t="inlineStr">
        <is>
          <t xml:space="preserve">--</t>
        </is>
      </c>
      <c r="AI31" s="57"/>
      <c r="AJ31" s="58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23"/>
      <c r="BC31" s="23"/>
      <c r="BD31" s="59"/>
      <c r="BE31" s="59"/>
      <c r="BF31" s="59"/>
      <c r="BG31" s="60"/>
    </row>
    <row r="32" ht="50" customHeight="1" spans="1:59">
      <c r="A32" s="50"/>
      <c r="B32" s="50"/>
      <c r="C32" s="39" t="inlineStr">
        <is>
          <t xml:space="preserve">下午</t>
        </is>
      </c>
      <c r="D32" s="70"/>
      <c r="E32" s="70"/>
      <c r="F32" s="70"/>
      <c r="G32" s="70"/>
      <c r="H32" s="70"/>
      <c r="I32" s="70"/>
      <c r="J32" s="70"/>
      <c r="K32" s="111" t="inlineStr">
        <is>
          <t xml:space="preserve">正常</t>
        </is>
      </c>
      <c r="L32" s="111" t="inlineStr">
        <is>
          <t xml:space="preserve">早退20分钟</t>
        </is>
      </c>
      <c r="M32" s="70" t="inlineStr">
        <is>
          <t xml:space="preserve">正常</t>
        </is>
      </c>
      <c r="N32" s="70" t="inlineStr">
        <is>
          <t xml:space="preserve">正常</t>
        </is>
      </c>
      <c r="O32" s="70" t="inlineStr">
        <is>
          <t xml:space="preserve">正常</t>
        </is>
      </c>
      <c r="P32" s="70" t="inlineStr">
        <is>
          <t xml:space="preserve">正常</t>
        </is>
      </c>
      <c r="Q32" s="70" t="inlineStr">
        <is>
          <t xml:space="preserve">正常</t>
        </is>
      </c>
      <c r="R32" s="70" t="inlineStr">
        <is>
          <t xml:space="preserve">--</t>
        </is>
      </c>
      <c r="S32" s="70" t="inlineStr">
        <is>
          <t xml:space="preserve">--</t>
        </is>
      </c>
      <c r="T32" s="70" t="inlineStr">
        <is>
          <t xml:space="preserve">--</t>
        </is>
      </c>
      <c r="U32" s="70" t="inlineStr">
        <is>
          <t xml:space="preserve">--</t>
        </is>
      </c>
      <c r="V32" s="70" t="inlineStr">
        <is>
          <t xml:space="preserve">--</t>
        </is>
      </c>
      <c r="W32" s="70" t="inlineStr">
        <is>
          <t xml:space="preserve">--</t>
        </is>
      </c>
      <c r="X32" s="70" t="inlineStr">
        <is>
          <t xml:space="preserve">--</t>
        </is>
      </c>
      <c r="Y32" s="70" t="inlineStr">
        <is>
          <t xml:space="preserve">--</t>
        </is>
      </c>
      <c r="Z32" s="70" t="inlineStr">
        <is>
          <t xml:space="preserve">--</t>
        </is>
      </c>
      <c r="AA32" s="70" t="inlineStr">
        <is>
          <t xml:space="preserve">--</t>
        </is>
      </c>
      <c r="AB32" s="70" t="inlineStr">
        <is>
          <t xml:space="preserve">--</t>
        </is>
      </c>
      <c r="AC32" s="70" t="inlineStr">
        <is>
          <t xml:space="preserve">--</t>
        </is>
      </c>
      <c r="AD32" s="70" t="inlineStr">
        <is>
          <t xml:space="preserve">--</t>
        </is>
      </c>
      <c r="AE32" s="70" t="inlineStr">
        <is>
          <t xml:space="preserve">--</t>
        </is>
      </c>
      <c r="AF32" s="70" t="inlineStr">
        <is>
          <t xml:space="preserve">--</t>
        </is>
      </c>
      <c r="AG32" s="70" t="inlineStr">
        <is>
          <t xml:space="preserve">--</t>
        </is>
      </c>
      <c r="AH32" s="70" t="inlineStr">
        <is>
          <t xml:space="preserve">--</t>
        </is>
      </c>
      <c r="AI32" s="57"/>
      <c r="AJ32" s="58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23"/>
      <c r="BC32" s="23"/>
      <c r="BD32" s="59"/>
      <c r="BE32" s="59"/>
      <c r="BF32" s="59"/>
      <c r="BG32" s="60"/>
    </row>
    <row r="33" ht="55.5" spans="1:59">
      <c r="A33" s="67"/>
      <c r="B33" s="50"/>
      <c r="C33" s="68" t="inlineStr">
        <is>
          <t xml:space="preserve">扣除
工时/分钟</t>
        </is>
      </c>
      <c r="D33" s="70"/>
      <c r="E33" s="70"/>
      <c r="F33" s="70"/>
      <c r="G33" s="70"/>
      <c r="H33" s="70"/>
      <c r="I33" s="70"/>
      <c r="J33" s="70"/>
      <c r="K33" s="70">
        <v>12</v>
      </c>
      <c r="L33" s="70">
        <v>20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1"/>
      <c r="AJ33" s="72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23"/>
      <c r="BC33" s="23"/>
      <c r="BD33" s="73"/>
      <c r="BE33" s="73"/>
      <c r="BF33" s="73"/>
      <c r="BG33" s="60"/>
    </row>
    <row r="34" ht="50" customHeight="1" spans="1:59">
      <c r="A34" s="38">
        <v>5</v>
      </c>
      <c r="B34" s="38" t="inlineStr">
        <is>
          <t xml:space="preserve">周庭序</t>
        </is>
      </c>
      <c r="C34" s="39" t="inlineStr">
        <is>
          <t xml:space="preserve">上午</t>
        </is>
      </c>
      <c r="D34" s="45" t="inlineStr">
        <is>
          <t xml:space="preserve">法定节假日</t>
        </is>
      </c>
      <c r="E34" s="111" t="inlineStr">
        <is>
          <t xml:space="preserve">旷工</t>
        </is>
      </c>
      <c r="F34" s="70" t="inlineStr">
        <is>
          <t xml:space="preserve">08:14</t>
        </is>
      </c>
      <c r="G34" s="70" t="inlineStr">
        <is>
          <t xml:space="preserve">08:00</t>
        </is>
      </c>
      <c r="H34" s="70" t="inlineStr">
        <is>
          <t xml:space="preserve">08:00</t>
        </is>
      </c>
      <c r="I34" s="70" t="inlineStr">
        <is>
          <t xml:space="preserve">08:00</t>
        </is>
      </c>
      <c r="J34" s="70" t="inlineStr">
        <is>
          <t xml:space="preserve">08:00</t>
        </is>
      </c>
      <c r="K34" s="70" t="inlineStr">
        <is>
          <t xml:space="preserve">08:00</t>
        </is>
      </c>
      <c r="L34" s="70" t="inlineStr">
        <is>
          <t xml:space="preserve">08:00</t>
        </is>
      </c>
      <c r="M34" s="70" t="inlineStr">
        <is>
          <t xml:space="preserve">08:00</t>
        </is>
      </c>
      <c r="N34" s="70" t="inlineStr">
        <is>
          <t xml:space="preserve">08:00</t>
        </is>
      </c>
      <c r="O34" s="45" t="inlineStr">
        <is>
          <t xml:space="preserve">轮休</t>
        </is>
      </c>
      <c r="P34" s="70" t="inlineStr">
        <is>
          <t xml:space="preserve">08:00</t>
        </is>
      </c>
      <c r="Q34" s="100" t="inlineStr">
        <is>
          <t xml:space="preserve">病假</t>
        </is>
      </c>
      <c r="R34" s="70" t="inlineStr">
        <is>
          <t xml:space="preserve">08:01</t>
        </is>
      </c>
      <c r="S34" s="70" t="inlineStr">
        <is>
          <t xml:space="preserve">--</t>
        </is>
      </c>
      <c r="T34" s="70" t="inlineStr">
        <is>
          <t xml:space="preserve">--</t>
        </is>
      </c>
      <c r="U34" s="70" t="inlineStr">
        <is>
          <t xml:space="preserve">--</t>
        </is>
      </c>
      <c r="V34" s="70" t="inlineStr">
        <is>
          <t xml:space="preserve">--</t>
        </is>
      </c>
      <c r="W34" s="70" t="inlineStr">
        <is>
          <t xml:space="preserve">--</t>
        </is>
      </c>
      <c r="X34" s="70" t="inlineStr">
        <is>
          <t xml:space="preserve">--</t>
        </is>
      </c>
      <c r="Y34" s="70" t="inlineStr">
        <is>
          <t xml:space="preserve">--</t>
        </is>
      </c>
      <c r="Z34" s="70" t="inlineStr">
        <is>
          <t xml:space="preserve">--</t>
        </is>
      </c>
      <c r="AA34" s="70" t="inlineStr">
        <is>
          <t xml:space="preserve">--</t>
        </is>
      </c>
      <c r="AB34" s="70" t="inlineStr">
        <is>
          <t xml:space="preserve">--</t>
        </is>
      </c>
      <c r="AC34" s="70" t="inlineStr">
        <is>
          <t xml:space="preserve">--</t>
        </is>
      </c>
      <c r="AD34" s="70" t="inlineStr">
        <is>
          <t xml:space="preserve">--</t>
        </is>
      </c>
      <c r="AE34" s="70" t="inlineStr">
        <is>
          <t xml:space="preserve">--</t>
        </is>
      </c>
      <c r="AF34" s="70" t="inlineStr">
        <is>
          <t xml:space="preserve">--</t>
        </is>
      </c>
      <c r="AG34" s="70" t="inlineStr">
        <is>
          <t xml:space="preserve">--</t>
        </is>
      </c>
      <c r="AH34" s="70" t="inlineStr">
        <is>
          <t xml:space="preserve">--</t>
        </is>
      </c>
      <c r="AI34" s="45" t="inlineStr">
        <is>
          <t xml:space="preserve">26天</t>
        </is>
      </c>
      <c r="AJ34" s="46"/>
      <c r="AK34" s="47" t="inlineStr">
        <is>
          <t xml:space="preserve">10天</t>
        </is>
      </c>
      <c r="AL34" s="47" t="inlineStr">
        <is>
          <t xml:space="preserve">1天</t>
        </is>
      </c>
      <c r="AM34" s="47" t="inlineStr">
        <is>
          <t xml:space="preserve">1天</t>
        </is>
      </c>
      <c r="AN34" s="47" t="inlineStr">
        <is>
          <t xml:space="preserve">1天</t>
        </is>
      </c>
      <c r="AO34" s="47"/>
      <c r="AP34" s="47"/>
      <c r="AQ34" s="47" t="inlineStr">
        <is>
          <t xml:space="preserve">1天</t>
        </is>
      </c>
      <c r="AR34" s="47">
        <v>2</v>
      </c>
      <c r="AS34" s="47"/>
      <c r="AT34" s="47">
        <v>1.5</v>
      </c>
      <c r="AU34" s="47">
        <v>4</v>
      </c>
      <c r="AV34" s="47"/>
      <c r="AW34" s="47" t="inlineStr">
        <is>
          <t xml:space="preserve">周庭序</t>
        </is>
      </c>
      <c r="AX34" s="47">
        <v>1</v>
      </c>
      <c r="AY34" s="47">
        <v>5</v>
      </c>
      <c r="AZ34" s="47">
        <v>1</v>
      </c>
      <c r="BA34" s="47"/>
      <c r="BB34" s="23">
        <v>0</v>
      </c>
      <c r="BC34" s="23">
        <v>0</v>
      </c>
      <c r="BD34" s="47"/>
      <c r="BE34" s="47">
        <f>ROUND(BB34+BC34,2)</f>
        <v>0</v>
      </c>
      <c r="BF34" s="47">
        <f>MAX(0,BD34-BE34)</f>
        <v>0</v>
      </c>
      <c r="BG34" s="49" t="inlineStr">
        <is>
          <t xml:space="preserve">年度带薪病假已超出 2 天</t>
        </is>
      </c>
    </row>
    <row r="35" ht="50" customHeight="1" spans="1:59">
      <c r="A35" s="50"/>
      <c r="B35" s="50"/>
      <c r="C35" s="39" t="inlineStr">
        <is>
          <t xml:space="preserve">上午</t>
        </is>
      </c>
      <c r="D35" s="70"/>
      <c r="E35" s="70"/>
      <c r="F35" s="111" t="inlineStr">
        <is>
          <t xml:space="preserve">迟到14分钟</t>
        </is>
      </c>
      <c r="G35" s="111" t="inlineStr">
        <is>
          <t xml:space="preserve">正常</t>
        </is>
      </c>
      <c r="H35" s="70" t="inlineStr">
        <is>
          <t xml:space="preserve">正常</t>
        </is>
      </c>
      <c r="I35" s="70" t="inlineStr">
        <is>
          <t xml:space="preserve">正常</t>
        </is>
      </c>
      <c r="J35" s="70" t="inlineStr">
        <is>
          <t xml:space="preserve">正常</t>
        </is>
      </c>
      <c r="K35" s="70" t="inlineStr">
        <is>
          <t xml:space="preserve">正常</t>
        </is>
      </c>
      <c r="L35" s="70" t="inlineStr">
        <is>
          <t xml:space="preserve">正常</t>
        </is>
      </c>
      <c r="M35" s="70" t="inlineStr">
        <is>
          <t xml:space="preserve">正常</t>
        </is>
      </c>
      <c r="N35" s="70" t="inlineStr">
        <is>
          <t xml:space="preserve">正常</t>
        </is>
      </c>
      <c r="O35" s="70"/>
      <c r="P35" s="70" t="inlineStr">
        <is>
          <t xml:space="preserve">正常</t>
        </is>
      </c>
      <c r="Q35" s="70"/>
      <c r="R35" s="111" t="inlineStr">
        <is>
          <t xml:space="preserve">正常</t>
        </is>
      </c>
      <c r="S35" s="70" t="inlineStr">
        <is>
          <t xml:space="preserve">--</t>
        </is>
      </c>
      <c r="T35" s="70" t="inlineStr">
        <is>
          <t xml:space="preserve">--</t>
        </is>
      </c>
      <c r="U35" s="70" t="inlineStr">
        <is>
          <t xml:space="preserve">--</t>
        </is>
      </c>
      <c r="V35" s="70" t="inlineStr">
        <is>
          <t xml:space="preserve">--</t>
        </is>
      </c>
      <c r="W35" s="70" t="inlineStr">
        <is>
          <t xml:space="preserve">--</t>
        </is>
      </c>
      <c r="X35" s="70" t="inlineStr">
        <is>
          <t xml:space="preserve">--</t>
        </is>
      </c>
      <c r="Y35" s="70" t="inlineStr">
        <is>
          <t xml:space="preserve">--</t>
        </is>
      </c>
      <c r="Z35" s="70" t="inlineStr">
        <is>
          <t xml:space="preserve">--</t>
        </is>
      </c>
      <c r="AA35" s="70" t="inlineStr">
        <is>
          <t xml:space="preserve">--</t>
        </is>
      </c>
      <c r="AB35" s="70" t="inlineStr">
        <is>
          <t xml:space="preserve">--</t>
        </is>
      </c>
      <c r="AC35" s="70" t="inlineStr">
        <is>
          <t xml:space="preserve">--</t>
        </is>
      </c>
      <c r="AD35" s="70" t="inlineStr">
        <is>
          <t xml:space="preserve">--</t>
        </is>
      </c>
      <c r="AE35" s="70" t="inlineStr">
        <is>
          <t xml:space="preserve">--</t>
        </is>
      </c>
      <c r="AF35" s="70" t="inlineStr">
        <is>
          <t xml:space="preserve">--</t>
        </is>
      </c>
      <c r="AG35" s="70" t="inlineStr">
        <is>
          <t xml:space="preserve">--</t>
        </is>
      </c>
      <c r="AH35" s="70" t="inlineStr">
        <is>
          <t xml:space="preserve">--</t>
        </is>
      </c>
      <c r="AI35" s="57"/>
      <c r="AJ35" s="58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23"/>
      <c r="BC35" s="23"/>
      <c r="BD35" s="59"/>
      <c r="BE35" s="59"/>
      <c r="BF35" s="59"/>
      <c r="BG35" s="60"/>
    </row>
    <row r="36" ht="50" customHeight="1" spans="1:59">
      <c r="A36" s="50"/>
      <c r="B36" s="50"/>
      <c r="C36" s="39" t="inlineStr">
        <is>
          <t xml:space="preserve">下午</t>
        </is>
      </c>
      <c r="D36" s="70"/>
      <c r="E36" s="70"/>
      <c r="F36" s="70" t="inlineStr">
        <is>
          <t xml:space="preserve">18:05</t>
        </is>
      </c>
      <c r="G36" s="70" t="inlineStr">
        <is>
          <t xml:space="preserve">17:37</t>
        </is>
      </c>
      <c r="H36" s="70" t="inlineStr">
        <is>
          <t xml:space="preserve">13:00</t>
        </is>
      </c>
      <c r="I36" s="70" t="inlineStr">
        <is>
          <t xml:space="preserve">18:05</t>
        </is>
      </c>
      <c r="J36" s="70" t="inlineStr">
        <is>
          <t xml:space="preserve">18:05</t>
        </is>
      </c>
      <c r="K36" s="70" t="inlineStr">
        <is>
          <t xml:space="preserve">19:30</t>
        </is>
      </c>
      <c r="L36" s="70" t="inlineStr">
        <is>
          <t xml:space="preserve">18:05</t>
        </is>
      </c>
      <c r="M36" s="70" t="inlineStr">
        <is>
          <t xml:space="preserve">18:05</t>
        </is>
      </c>
      <c r="N36" s="70" t="inlineStr">
        <is>
          <t xml:space="preserve">18:05</t>
        </is>
      </c>
      <c r="O36" s="70"/>
      <c r="P36" s="70" t="inlineStr">
        <is>
          <t xml:space="preserve">18:05</t>
        </is>
      </c>
      <c r="Q36" s="70"/>
      <c r="R36" s="70" t="inlineStr">
        <is>
          <t xml:space="preserve">--</t>
        </is>
      </c>
      <c r="S36" s="70" t="inlineStr">
        <is>
          <t xml:space="preserve">--</t>
        </is>
      </c>
      <c r="T36" s="70" t="inlineStr">
        <is>
          <t xml:space="preserve">--</t>
        </is>
      </c>
      <c r="U36" s="70" t="inlineStr">
        <is>
          <t xml:space="preserve">--</t>
        </is>
      </c>
      <c r="V36" s="70" t="inlineStr">
        <is>
          <t xml:space="preserve">--</t>
        </is>
      </c>
      <c r="W36" s="70" t="inlineStr">
        <is>
          <t xml:space="preserve">--</t>
        </is>
      </c>
      <c r="X36" s="70" t="inlineStr">
        <is>
          <t xml:space="preserve">--</t>
        </is>
      </c>
      <c r="Y36" s="70" t="inlineStr">
        <is>
          <t xml:space="preserve">--</t>
        </is>
      </c>
      <c r="Z36" s="70" t="inlineStr">
        <is>
          <t xml:space="preserve">--</t>
        </is>
      </c>
      <c r="AA36" s="70" t="inlineStr">
        <is>
          <t xml:space="preserve">--</t>
        </is>
      </c>
      <c r="AB36" s="70" t="inlineStr">
        <is>
          <t xml:space="preserve">--</t>
        </is>
      </c>
      <c r="AC36" s="70" t="inlineStr">
        <is>
          <t xml:space="preserve">--</t>
        </is>
      </c>
      <c r="AD36" s="70" t="inlineStr">
        <is>
          <t xml:space="preserve">--</t>
        </is>
      </c>
      <c r="AE36" s="70" t="inlineStr">
        <is>
          <t xml:space="preserve">--</t>
        </is>
      </c>
      <c r="AF36" s="70" t="inlineStr">
        <is>
          <t xml:space="preserve">--</t>
        </is>
      </c>
      <c r="AG36" s="70" t="inlineStr">
        <is>
          <t xml:space="preserve">--</t>
        </is>
      </c>
      <c r="AH36" s="70" t="inlineStr">
        <is>
          <t xml:space="preserve">--</t>
        </is>
      </c>
      <c r="AI36" s="57"/>
      <c r="AJ36" s="58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23"/>
      <c r="BC36" s="23"/>
      <c r="BD36" s="59"/>
      <c r="BE36" s="59"/>
      <c r="BF36" s="59"/>
      <c r="BG36" s="60"/>
    </row>
    <row r="37" ht="50" customHeight="1" spans="1:59">
      <c r="A37" s="50"/>
      <c r="B37" s="50"/>
      <c r="C37" s="39" t="inlineStr">
        <is>
          <t xml:space="preserve">下午</t>
        </is>
      </c>
      <c r="D37" s="70"/>
      <c r="E37" s="70"/>
      <c r="F37" s="111" t="inlineStr">
        <is>
          <t xml:space="preserve">正常</t>
        </is>
      </c>
      <c r="G37" s="111" t="inlineStr">
        <is>
          <t xml:space="preserve">早退23分钟</t>
        </is>
      </c>
      <c r="H37" s="70" t="inlineStr">
        <is>
          <t xml:space="preserve">正常</t>
        </is>
      </c>
      <c r="I37" s="70" t="inlineStr">
        <is>
          <t xml:space="preserve">正常</t>
        </is>
      </c>
      <c r="J37" s="70" t="inlineStr">
        <is>
          <t xml:space="preserve">正常</t>
        </is>
      </c>
      <c r="K37" s="70" t="inlineStr">
        <is>
          <t xml:space="preserve">正常</t>
        </is>
      </c>
      <c r="L37" s="70" t="inlineStr">
        <is>
          <t xml:space="preserve">正常</t>
        </is>
      </c>
      <c r="M37" s="70" t="inlineStr">
        <is>
          <t xml:space="preserve">正常</t>
        </is>
      </c>
      <c r="N37" s="70" t="inlineStr">
        <is>
          <t xml:space="preserve">正常</t>
        </is>
      </c>
      <c r="O37" s="70"/>
      <c r="P37" s="70" t="inlineStr">
        <is>
          <t xml:space="preserve">正常</t>
        </is>
      </c>
      <c r="Q37" s="70"/>
      <c r="R37" s="111" t="inlineStr">
        <is>
          <t xml:space="preserve">缺卡（18:00）</t>
        </is>
      </c>
      <c r="S37" s="70" t="inlineStr">
        <is>
          <t xml:space="preserve">--</t>
        </is>
      </c>
      <c r="T37" s="70" t="inlineStr">
        <is>
          <t xml:space="preserve">--</t>
        </is>
      </c>
      <c r="U37" s="70" t="inlineStr">
        <is>
          <t xml:space="preserve">--</t>
        </is>
      </c>
      <c r="V37" s="70" t="inlineStr">
        <is>
          <t xml:space="preserve">--</t>
        </is>
      </c>
      <c r="W37" s="70" t="inlineStr">
        <is>
          <t xml:space="preserve">--</t>
        </is>
      </c>
      <c r="X37" s="70" t="inlineStr">
        <is>
          <t xml:space="preserve">--</t>
        </is>
      </c>
      <c r="Y37" s="70" t="inlineStr">
        <is>
          <t xml:space="preserve">--</t>
        </is>
      </c>
      <c r="Z37" s="70" t="inlineStr">
        <is>
          <t xml:space="preserve">--</t>
        </is>
      </c>
      <c r="AA37" s="70" t="inlineStr">
        <is>
          <t xml:space="preserve">--</t>
        </is>
      </c>
      <c r="AB37" s="70" t="inlineStr">
        <is>
          <t xml:space="preserve">--</t>
        </is>
      </c>
      <c r="AC37" s="70" t="inlineStr">
        <is>
          <t xml:space="preserve">--</t>
        </is>
      </c>
      <c r="AD37" s="70" t="inlineStr">
        <is>
          <t xml:space="preserve">--</t>
        </is>
      </c>
      <c r="AE37" s="70" t="inlineStr">
        <is>
          <t xml:space="preserve">--</t>
        </is>
      </c>
      <c r="AF37" s="70" t="inlineStr">
        <is>
          <t xml:space="preserve">--</t>
        </is>
      </c>
      <c r="AG37" s="70" t="inlineStr">
        <is>
          <t xml:space="preserve">--</t>
        </is>
      </c>
      <c r="AH37" s="70" t="inlineStr">
        <is>
          <t xml:space="preserve">--</t>
        </is>
      </c>
      <c r="AI37" s="57"/>
      <c r="AJ37" s="58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23"/>
      <c r="BC37" s="23"/>
      <c r="BD37" s="59"/>
      <c r="BE37" s="59"/>
      <c r="BF37" s="59"/>
      <c r="BG37" s="60"/>
    </row>
    <row r="38" ht="55.5" spans="1:59">
      <c r="A38" s="67"/>
      <c r="B38" s="50"/>
      <c r="C38" s="68" t="inlineStr">
        <is>
          <t xml:space="preserve">扣除
工时/分钟</t>
        </is>
      </c>
      <c r="D38" s="70"/>
      <c r="E38" s="70"/>
      <c r="F38" s="70">
        <v>14</v>
      </c>
      <c r="G38" s="70">
        <v>23</v>
      </c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1"/>
      <c r="AJ38" s="72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23"/>
      <c r="BC38" s="23"/>
      <c r="BD38" s="73"/>
      <c r="BE38" s="73"/>
      <c r="BF38" s="73"/>
      <c r="BG38" s="60"/>
    </row>
    <row r="39" ht="50" customHeight="1" spans="1:59">
      <c r="A39" s="26" t="s">
        <v>82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5"/>
    </row>
    <row r="40" ht="50" customHeight="1" spans="1:59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5"/>
    </row>
    <row r="41" ht="50" customHeight="1" spans="1:59">
      <c r="A41" s="74" t="inlineStr">
        <is>
          <t xml:space="preserve">制表人：</t>
        </is>
      </c>
      <c r="B41" s="74"/>
      <c r="C41" s="75"/>
      <c r="D41" s="75"/>
      <c r="E41" s="75"/>
      <c r="F41" s="75"/>
      <c r="G41" s="75"/>
      <c r="H41" s="75"/>
      <c r="I41" s="75"/>
      <c r="J41" s="75"/>
      <c r="K41" s="75" t="inlineStr">
        <is>
          <t xml:space="preserve">复核人：</t>
        </is>
      </c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 t="inlineStr">
        <is>
          <t xml:space="preserve">人事部审核：</t>
        </is>
      </c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4" t="inlineStr">
        <is>
          <t xml:space="preserve">副总经理审核：</t>
        </is>
      </c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25"/>
    </row>
  </sheetData>
  <mergeCells count="181">
    <mergeCell ref="A1:AK1"/>
    <mergeCell ref="A10:AW10"/>
    <mergeCell ref="B11:AW11"/>
    <mergeCell ref="AI12:AJ12"/>
    <mergeCell ref="AI13:AJ13"/>
    <mergeCell ref="A41:J41"/>
    <mergeCell ref="K41:V41"/>
    <mergeCell ref="W41:AE41"/>
    <mergeCell ref="AI41:BF41"/>
    <mergeCell ref="A2:A3"/>
    <mergeCell ref="A11:A13"/>
    <mergeCell ref="B2:B3"/>
    <mergeCell ref="B12:B13"/>
    <mergeCell ref="C12:C13"/>
    <mergeCell ref="AI2:AI3"/>
    <mergeCell ref="AJ2:AJ3"/>
    <mergeCell ref="AK2:AK3"/>
    <mergeCell ref="AN2:AN3"/>
    <mergeCell ref="AW12:AW13"/>
    <mergeCell ref="AX12:AX13"/>
    <mergeCell ref="AY12:AY13"/>
    <mergeCell ref="AZ12:AZ13"/>
    <mergeCell ref="BA12:BA13"/>
    <mergeCell ref="BD12:BD13"/>
    <mergeCell ref="BE12:BE13"/>
    <mergeCell ref="BF12:BF13"/>
    <mergeCell ref="AX10:BA11"/>
    <mergeCell ref="BD10:BF11"/>
    <mergeCell ref="A39:BF40"/>
    <mergeCell ref="A14:A18"/>
    <mergeCell ref="B14:B18"/>
    <mergeCell ref="D14:D17"/>
    <mergeCell ref="E14:E17"/>
    <mergeCell ref="F14:F17"/>
    <mergeCell ref="G14:G17"/>
    <mergeCell ref="I14:I17"/>
    <mergeCell ref="O14:O17"/>
    <mergeCell ref="AI14:AJ18"/>
    <mergeCell ref="AK14:AK18"/>
    <mergeCell ref="AL14:AL18"/>
    <mergeCell ref="AM14:AM18"/>
    <mergeCell ref="AN14:AN18"/>
    <mergeCell ref="AO14:AO18"/>
    <mergeCell ref="AP14:AP18"/>
    <mergeCell ref="AQ14:AQ18"/>
    <mergeCell ref="AR14:AR18"/>
    <mergeCell ref="AS14:AS18"/>
    <mergeCell ref="AT14:AT18"/>
    <mergeCell ref="AU14:AU18"/>
    <mergeCell ref="AV14:AV18"/>
    <mergeCell ref="AW14:AW18"/>
    <mergeCell ref="AX14:AX18"/>
    <mergeCell ref="AY14:AY18"/>
    <mergeCell ref="AZ14:AZ18"/>
    <mergeCell ref="BA14:BA18"/>
    <mergeCell ref="BD14:BD18"/>
    <mergeCell ref="BE14:BE18"/>
    <mergeCell ref="BF14:BF18"/>
    <mergeCell ref="BG14:BG18"/>
    <mergeCell ref="A19:A23"/>
    <mergeCell ref="B19:B23"/>
    <mergeCell ref="G19:G22"/>
    <mergeCell ref="H19:H22"/>
    <mergeCell ref="I19:I22"/>
    <mergeCell ref="J19:J22"/>
    <mergeCell ref="K19:K22"/>
    <mergeCell ref="L19:L22"/>
    <mergeCell ref="M19:M22"/>
    <mergeCell ref="N19:N22"/>
    <mergeCell ref="AI19:AJ23"/>
    <mergeCell ref="AK19:AK23"/>
    <mergeCell ref="AL19:AL23"/>
    <mergeCell ref="AM19:AM23"/>
    <mergeCell ref="AN19:AN23"/>
    <mergeCell ref="AO19:AO23"/>
    <mergeCell ref="AP19:AP23"/>
    <mergeCell ref="AQ19:AQ23"/>
    <mergeCell ref="AR19:AR23"/>
    <mergeCell ref="AS19:AS23"/>
    <mergeCell ref="AT19:AT23"/>
    <mergeCell ref="AU19:AU23"/>
    <mergeCell ref="AV19:AV23"/>
    <mergeCell ref="AW19:AW23"/>
    <mergeCell ref="AX19:AX23"/>
    <mergeCell ref="AY19:AY23"/>
    <mergeCell ref="AZ19:AZ23"/>
    <mergeCell ref="BA19:BA23"/>
    <mergeCell ref="BD19:BD23"/>
    <mergeCell ref="BE19:BE23"/>
    <mergeCell ref="BF19:BF23"/>
    <mergeCell ref="BG19:BG23"/>
    <mergeCell ref="A24:A28"/>
    <mergeCell ref="B24:B28"/>
    <mergeCell ref="H24:H27"/>
    <mergeCell ref="L24:L27"/>
    <mergeCell ref="N24:N27"/>
    <mergeCell ref="O24:O27"/>
    <mergeCell ref="P24:P27"/>
    <mergeCell ref="Q24:Q27"/>
    <mergeCell ref="R24:R27"/>
    <mergeCell ref="AI24:AJ28"/>
    <mergeCell ref="AK24:AK28"/>
    <mergeCell ref="AL24:AL28"/>
    <mergeCell ref="AM24:AM28"/>
    <mergeCell ref="AN24:AN28"/>
    <mergeCell ref="AO24:AO28"/>
    <mergeCell ref="AP24:AP28"/>
    <mergeCell ref="AQ24:AQ28"/>
    <mergeCell ref="AR24:AR28"/>
    <mergeCell ref="AS24:AS28"/>
    <mergeCell ref="AT24:AT28"/>
    <mergeCell ref="AU24:AU28"/>
    <mergeCell ref="AV24:AV28"/>
    <mergeCell ref="AW24:AW28"/>
    <mergeCell ref="AX24:AX28"/>
    <mergeCell ref="AY24:AY28"/>
    <mergeCell ref="AZ24:AZ28"/>
    <mergeCell ref="BA24:BA28"/>
    <mergeCell ref="BD24:BD28"/>
    <mergeCell ref="BE24:BE28"/>
    <mergeCell ref="BF24:BF28"/>
    <mergeCell ref="BG24:BG28"/>
    <mergeCell ref="A29:A33"/>
    <mergeCell ref="B29:B33"/>
    <mergeCell ref="D29:D32"/>
    <mergeCell ref="E29:E32"/>
    <mergeCell ref="F29:F32"/>
    <mergeCell ref="G29:G32"/>
    <mergeCell ref="H29:H32"/>
    <mergeCell ref="I29:I32"/>
    <mergeCell ref="J29:J32"/>
    <mergeCell ref="AI29:AJ33"/>
    <mergeCell ref="AK29:AK33"/>
    <mergeCell ref="AL29:AL33"/>
    <mergeCell ref="AM29:AM33"/>
    <mergeCell ref="AN29:AN33"/>
    <mergeCell ref="AO29:AO33"/>
    <mergeCell ref="AP29:AP33"/>
    <mergeCell ref="AQ29:AQ33"/>
    <mergeCell ref="AR29:AR33"/>
    <mergeCell ref="AS29:AS33"/>
    <mergeCell ref="AT29:AT33"/>
    <mergeCell ref="AU29:AU33"/>
    <mergeCell ref="AV29:AV33"/>
    <mergeCell ref="AW29:AW33"/>
    <mergeCell ref="AX29:AX33"/>
    <mergeCell ref="AY29:AY33"/>
    <mergeCell ref="AZ29:AZ33"/>
    <mergeCell ref="BA29:BA33"/>
    <mergeCell ref="BD29:BD33"/>
    <mergeCell ref="BE29:BE33"/>
    <mergeCell ref="BF29:BF33"/>
    <mergeCell ref="BG29:BG33"/>
    <mergeCell ref="A34:A38"/>
    <mergeCell ref="B34:B38"/>
    <mergeCell ref="D34:D37"/>
    <mergeCell ref="E34:E37"/>
    <mergeCell ref="O34:O37"/>
    <mergeCell ref="Q34:Q37"/>
    <mergeCell ref="AI34:AJ38"/>
    <mergeCell ref="AK34:AK38"/>
    <mergeCell ref="AL34:AL38"/>
    <mergeCell ref="AM34:AM38"/>
    <mergeCell ref="AN34:AN38"/>
    <mergeCell ref="AO34:AO38"/>
    <mergeCell ref="AP34:AP38"/>
    <mergeCell ref="AQ34:AQ38"/>
    <mergeCell ref="AR34:AR38"/>
    <mergeCell ref="AS34:AS38"/>
    <mergeCell ref="AT34:AT38"/>
    <mergeCell ref="AU34:AU38"/>
    <mergeCell ref="AV34:AV38"/>
    <mergeCell ref="AW34:AW38"/>
    <mergeCell ref="AX34:AX38"/>
    <mergeCell ref="AY34:AY38"/>
    <mergeCell ref="AZ34:AZ38"/>
    <mergeCell ref="BA34:BA38"/>
    <mergeCell ref="BD34:BD38"/>
    <mergeCell ref="BE34:BE38"/>
    <mergeCell ref="BF34:BF38"/>
    <mergeCell ref="BG34:BG38"/>
  </mergeCells>
  <dataValidations count="1">
    <dataValidation allowBlank="1" showInputMessage="1" showErrorMessage="1" sqref="AI9 A15:AW15 A6:AW7"/>
  </dataValidations>
  <pageMargins left="0.25" right="0.25" top="0.75" bottom="0.708333333333333" header="0.298611111111111" footer="0.298611111111111"/>
  <pageSetup paperSize="9" scale="24" fitToHeight="0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G17"/>
  <sheetViews>
    <sheetView zoomScale="40" zoomScaleNormal="40" workbookViewId="0">
      <selection activeCell="N49" sqref="N49"/>
    </sheetView>
  </sheetViews>
  <sheetFormatPr defaultColWidth="10.625" defaultRowHeight="13.5"/>
  <cols>
    <col min="1" max="1" width="10.625" customWidth="1"/>
    <col min="2" max="2" width="15.3166666666667" customWidth="1"/>
    <col min="3" max="3" width="22.1833333333333" customWidth="1"/>
    <col min="4" max="31" width="10.625" customWidth="1"/>
    <col min="32" max="34" width="10.625" hidden="1" customWidth="1"/>
    <col min="35" max="35" width="10.625" customWidth="1"/>
    <col min="36" max="36" width="13.4333333333333" customWidth="1"/>
    <col min="37" max="37" width="17.5" customWidth="1"/>
    <col min="38" max="38" width="10.625" hidden="1" customWidth="1"/>
    <col min="39" max="39" width="10.625" customWidth="1"/>
    <col min="40" max="40" width="25" customWidth="1"/>
    <col min="41" max="41" width="15.25" customWidth="1"/>
    <col min="42" max="42" width="13.75" customWidth="1"/>
    <col min="43" max="48" width="10.625" hidden="1" customWidth="1"/>
    <col min="49" max="49" width="40.3166666666667" customWidth="1"/>
    <col min="50" max="53" width="10.625" hidden="1" customWidth="1"/>
    <col min="54" max="55" width="23.125" hidden="1" customWidth="1"/>
    <col min="56" max="56" width="21.125" customWidth="1"/>
    <col min="57" max="57" width="29.625" customWidth="1"/>
    <col min="58" max="58" width="28.625" customWidth="1"/>
    <col min="59" max="59" width="27.625" customWidth="1"/>
    <col min="60" max="16377" width="10.625" customWidth="1"/>
  </cols>
  <sheetData>
    <row r="1" ht="40" customHeight="1" spans="1:59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2"/>
      <c r="AM1" s="3"/>
      <c r="AN1" s="4"/>
      <c r="AO1" s="3"/>
      <c r="AP1" s="3"/>
      <c r="AQ1" s="3"/>
      <c r="AR1" s="3"/>
      <c r="AS1" s="3"/>
      <c r="AT1" s="3"/>
      <c r="AU1" s="3"/>
      <c r="AV1" s="3"/>
      <c r="AW1" s="3"/>
      <c r="AX1" s="5"/>
      <c r="AY1" s="5"/>
      <c r="AZ1" s="5"/>
      <c r="BA1" s="5"/>
    </row>
    <row r="2" ht="40" customHeight="1" spans="1:59">
      <c r="A2" s="1" t="s">
        <v>1</v>
      </c>
      <c r="B2" s="1" t="s">
        <v>2</v>
      </c>
      <c r="C2" s="1" t="s">
        <v>3</v>
      </c>
      <c r="D2" s="6">
        <v>1</v>
      </c>
      <c r="E2" s="6">
        <v>2</v>
      </c>
      <c r="F2" s="6">
        <v>3</v>
      </c>
      <c r="G2" s="6">
        <v>4</v>
      </c>
      <c r="H2" s="6">
        <v>5</v>
      </c>
      <c r="I2" s="6">
        <v>6</v>
      </c>
      <c r="J2" s="6">
        <v>7</v>
      </c>
      <c r="K2" s="6">
        <v>8</v>
      </c>
      <c r="L2" s="6">
        <v>9</v>
      </c>
      <c r="M2" s="6">
        <v>10</v>
      </c>
      <c r="N2" s="6">
        <v>11</v>
      </c>
      <c r="O2" s="6">
        <v>12</v>
      </c>
      <c r="P2" s="6">
        <v>13</v>
      </c>
      <c r="Q2" s="6">
        <v>14</v>
      </c>
      <c r="R2" s="6">
        <v>15</v>
      </c>
      <c r="S2" s="6">
        <v>16</v>
      </c>
      <c r="T2" s="6">
        <v>17</v>
      </c>
      <c r="U2" s="6">
        <v>18</v>
      </c>
      <c r="V2" s="6">
        <v>19</v>
      </c>
      <c r="W2" s="6">
        <v>20</v>
      </c>
      <c r="X2" s="6">
        <v>21</v>
      </c>
      <c r="Y2" s="6">
        <v>22</v>
      </c>
      <c r="Z2" s="6">
        <v>23</v>
      </c>
      <c r="AA2" s="6">
        <v>24</v>
      </c>
      <c r="AB2" s="6">
        <v>25</v>
      </c>
      <c r="AC2" s="6">
        <v>26</v>
      </c>
      <c r="AD2" s="6">
        <v>27</v>
      </c>
      <c r="AE2" s="6">
        <v>28</v>
      </c>
      <c r="AF2" s="6">
        <v>29</v>
      </c>
      <c r="AG2" s="6">
        <v>30</v>
      </c>
      <c r="AH2" s="6">
        <v>31</v>
      </c>
      <c r="AI2" s="7" t="s">
        <v>4</v>
      </c>
      <c r="AJ2" s="8" t="s">
        <v>5</v>
      </c>
      <c r="AK2" s="9" t="s">
        <v>6</v>
      </c>
      <c r="AL2" s="10"/>
      <c r="AM2" s="3"/>
      <c r="AN2" s="11"/>
      <c r="AO2" s="3"/>
      <c r="AP2" s="12"/>
      <c r="AQ2" s="12"/>
      <c r="AR2" s="3" t="s">
        <v>7</v>
      </c>
      <c r="AS2" s="3"/>
      <c r="AT2" s="3"/>
      <c r="AU2" s="3"/>
      <c r="AV2" s="3"/>
      <c r="AW2" s="3"/>
      <c r="AX2" s="5"/>
      <c r="AY2" s="5"/>
      <c r="AZ2" s="5"/>
      <c r="BA2" s="5"/>
    </row>
    <row r="3" ht="40" customHeight="1" spans="1:59">
      <c r="A3" s="1"/>
      <c r="B3" s="1"/>
      <c r="C3" s="1" t="s">
        <v>8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9</v>
      </c>
      <c r="P3" s="1" t="s">
        <v>10</v>
      </c>
      <c r="Q3" s="1" t="s">
        <v>11</v>
      </c>
      <c r="R3" s="1" t="s">
        <v>12</v>
      </c>
      <c r="S3" s="1" t="s">
        <v>13</v>
      </c>
      <c r="T3" s="1" t="s">
        <v>14</v>
      </c>
      <c r="U3" s="1" t="s">
        <v>15</v>
      </c>
      <c r="V3" s="1" t="s">
        <v>9</v>
      </c>
      <c r="W3" s="1" t="s">
        <v>10</v>
      </c>
      <c r="X3" s="1" t="s">
        <v>11</v>
      </c>
      <c r="Y3" s="1" t="s">
        <v>12</v>
      </c>
      <c r="Z3" s="1" t="s">
        <v>13</v>
      </c>
      <c r="AA3" s="1" t="s">
        <v>14</v>
      </c>
      <c r="AB3" s="1" t="s">
        <v>15</v>
      </c>
      <c r="AC3" s="1" t="s">
        <v>9</v>
      </c>
      <c r="AD3" s="1" t="s">
        <v>10</v>
      </c>
      <c r="AE3" s="1" t="s">
        <v>11</v>
      </c>
      <c r="AF3" s="1" t="s">
        <v>12</v>
      </c>
      <c r="AG3" s="1" t="s">
        <v>13</v>
      </c>
      <c r="AH3" s="1" t="s">
        <v>14</v>
      </c>
      <c r="AI3" s="13"/>
      <c r="AJ3" s="8"/>
      <c r="AK3" s="9"/>
      <c r="AL3" s="10"/>
      <c r="AM3" s="3"/>
      <c r="AN3" s="14"/>
      <c r="AO3" s="3"/>
      <c r="AP3" s="15"/>
      <c r="AQ3" s="15"/>
      <c r="AR3" s="3" t="s">
        <v>16</v>
      </c>
      <c r="AS3" s="3"/>
      <c r="AT3" s="3"/>
      <c r="AU3" s="3"/>
      <c r="AV3" s="3"/>
      <c r="AW3" s="3"/>
      <c r="AX3" s="5"/>
      <c r="AY3" s="5"/>
      <c r="AZ3" s="5"/>
      <c r="BA3" s="5"/>
    </row>
    <row r="4" ht="40" customHeight="1" spans="1:59">
      <c r="A4" s="1">
        <v>4</v>
      </c>
      <c r="B4" s="1"/>
      <c r="C4" s="16" t="s">
        <v>17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6"/>
      <c r="AJ4" s="6">
        <f>AC4+AI4</f>
        <v>0</v>
      </c>
      <c r="AK4" s="4" t="s">
        <v>18</v>
      </c>
      <c r="AL4" s="18"/>
      <c r="AM4" s="19"/>
      <c r="AN4" s="4"/>
      <c r="AO4" s="3"/>
      <c r="AP4" s="20"/>
      <c r="AQ4" s="20"/>
      <c r="AR4" s="3" t="s">
        <v>19</v>
      </c>
      <c r="AS4" s="3"/>
      <c r="AT4" s="3"/>
      <c r="AU4" s="3"/>
      <c r="AV4" s="3"/>
      <c r="AW4" s="3"/>
      <c r="AX4" s="5"/>
      <c r="AY4" s="5"/>
      <c r="AZ4" s="5"/>
      <c r="BA4" s="5"/>
    </row>
    <row r="5" ht="29.25" spans="1:59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</row>
    <row r="6" ht="50" customHeight="1" spans="1:59">
      <c r="A6" s="22" t="s">
        <v>88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3"/>
      <c r="BC6" s="23"/>
      <c r="BD6" s="24"/>
      <c r="BE6" s="24"/>
      <c r="BF6" s="24"/>
      <c r="BG6" s="25"/>
    </row>
    <row r="7" ht="50" customHeight="1" spans="1:59">
      <c r="A7" s="26" t="s">
        <v>21</v>
      </c>
      <c r="B7" s="27" t="s">
        <v>22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2"/>
      <c r="AY7" s="22"/>
      <c r="AZ7" s="22"/>
      <c r="BA7" s="22"/>
      <c r="BB7" s="23"/>
      <c r="BC7" s="23"/>
      <c r="BD7" s="24"/>
      <c r="BE7" s="24"/>
      <c r="BF7" s="24"/>
      <c r="BG7" s="25"/>
    </row>
    <row r="8" ht="50" customHeight="1" spans="1:59">
      <c r="A8" s="9"/>
      <c r="B8" s="28" t="s">
        <v>23</v>
      </c>
      <c r="C8" s="29" t="s">
        <v>24</v>
      </c>
      <c r="D8" s="6">
        <v>1</v>
      </c>
      <c r="E8" s="6">
        <v>2</v>
      </c>
      <c r="F8" s="6">
        <v>3</v>
      </c>
      <c r="G8" s="6">
        <v>4</v>
      </c>
      <c r="H8" s="6">
        <v>5</v>
      </c>
      <c r="I8" s="6">
        <v>6</v>
      </c>
      <c r="J8" s="6">
        <v>7</v>
      </c>
      <c r="K8" s="6">
        <v>8</v>
      </c>
      <c r="L8" s="6">
        <v>9</v>
      </c>
      <c r="M8" s="6">
        <v>10</v>
      </c>
      <c r="N8" s="6">
        <v>11</v>
      </c>
      <c r="O8" s="6">
        <v>12</v>
      </c>
      <c r="P8" s="6">
        <v>13</v>
      </c>
      <c r="Q8" s="6">
        <v>14</v>
      </c>
      <c r="R8" s="6">
        <v>15</v>
      </c>
      <c r="S8" s="6">
        <v>16</v>
      </c>
      <c r="T8" s="6">
        <v>17</v>
      </c>
      <c r="U8" s="6">
        <v>18</v>
      </c>
      <c r="V8" s="6">
        <v>19</v>
      </c>
      <c r="W8" s="6">
        <v>20</v>
      </c>
      <c r="X8" s="6">
        <v>21</v>
      </c>
      <c r="Y8" s="6">
        <v>22</v>
      </c>
      <c r="Z8" s="6">
        <v>23</v>
      </c>
      <c r="AA8" s="6">
        <v>24</v>
      </c>
      <c r="AB8" s="6">
        <v>25</v>
      </c>
      <c r="AC8" s="6">
        <v>26</v>
      </c>
      <c r="AD8" s="6">
        <v>27</v>
      </c>
      <c r="AE8" s="6">
        <v>28</v>
      </c>
      <c r="AF8" s="6">
        <v>29</v>
      </c>
      <c r="AG8" s="6">
        <v>30</v>
      </c>
      <c r="AH8" s="6">
        <v>31</v>
      </c>
      <c r="AI8" s="30" t="s">
        <v>25</v>
      </c>
      <c r="AJ8" s="30"/>
      <c r="AK8" s="30" t="s">
        <v>26</v>
      </c>
      <c r="AL8" s="30" t="s">
        <v>27</v>
      </c>
      <c r="AM8" s="31" t="s">
        <v>28</v>
      </c>
      <c r="AN8" s="31" t="s">
        <v>6</v>
      </c>
      <c r="AO8" s="31" t="s">
        <v>29</v>
      </c>
      <c r="AP8" s="31" t="s">
        <v>30</v>
      </c>
      <c r="AQ8" s="31" t="s">
        <v>31</v>
      </c>
      <c r="AR8" s="30" t="s">
        <v>32</v>
      </c>
      <c r="AS8" s="26" t="s">
        <v>33</v>
      </c>
      <c r="AT8" s="30" t="s">
        <v>34</v>
      </c>
      <c r="AU8" s="30" t="s">
        <v>35</v>
      </c>
      <c r="AV8" s="26" t="s">
        <v>36</v>
      </c>
      <c r="AW8" s="9" t="s">
        <v>37</v>
      </c>
      <c r="AX8" s="32" t="s">
        <v>38</v>
      </c>
      <c r="AY8" s="26" t="s">
        <v>39</v>
      </c>
      <c r="AZ8" s="26" t="s">
        <v>40</v>
      </c>
      <c r="BA8" s="26" t="s">
        <v>41</v>
      </c>
      <c r="BB8" s="23"/>
      <c r="BC8" s="23"/>
      <c r="BD8" s="33" t="s">
        <v>42</v>
      </c>
      <c r="BE8" s="33" t="s">
        <v>43</v>
      </c>
      <c r="BF8" s="33" t="s">
        <v>44</v>
      </c>
      <c r="BG8" s="25"/>
    </row>
    <row r="9" ht="50" customHeight="1" spans="1:59">
      <c r="A9" s="9"/>
      <c r="B9" s="34"/>
      <c r="C9" s="35"/>
      <c r="D9" s="1" t="s">
        <v>12</v>
      </c>
      <c r="E9" s="1" t="s">
        <v>13</v>
      </c>
      <c r="F9" s="1" t="s">
        <v>14</v>
      </c>
      <c r="G9" s="1" t="s">
        <v>15</v>
      </c>
      <c r="H9" s="1" t="s">
        <v>9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15</v>
      </c>
      <c r="O9" s="1" t="s">
        <v>9</v>
      </c>
      <c r="P9" s="1" t="s">
        <v>10</v>
      </c>
      <c r="Q9" s="1" t="s">
        <v>11</v>
      </c>
      <c r="R9" s="1" t="s">
        <v>12</v>
      </c>
      <c r="S9" s="1" t="s">
        <v>13</v>
      </c>
      <c r="T9" s="1" t="s">
        <v>14</v>
      </c>
      <c r="U9" s="1" t="s">
        <v>15</v>
      </c>
      <c r="V9" s="1" t="s">
        <v>9</v>
      </c>
      <c r="W9" s="1" t="s">
        <v>10</v>
      </c>
      <c r="X9" s="1" t="s">
        <v>11</v>
      </c>
      <c r="Y9" s="1" t="s">
        <v>12</v>
      </c>
      <c r="Z9" s="1" t="s">
        <v>13</v>
      </c>
      <c r="AA9" s="1" t="s">
        <v>14</v>
      </c>
      <c r="AB9" s="1" t="s">
        <v>15</v>
      </c>
      <c r="AC9" s="1" t="s">
        <v>9</v>
      </c>
      <c r="AD9" s="1" t="s">
        <v>10</v>
      </c>
      <c r="AE9" s="1" t="s">
        <v>11</v>
      </c>
      <c r="AF9" s="1" t="s">
        <v>12</v>
      </c>
      <c r="AG9" s="1" t="s">
        <v>13</v>
      </c>
      <c r="AH9" s="1" t="s">
        <v>14</v>
      </c>
      <c r="AI9" s="31" t="s">
        <v>45</v>
      </c>
      <c r="AJ9" s="31"/>
      <c r="AK9" s="31" t="s">
        <v>45</v>
      </c>
      <c r="AL9" s="31" t="s">
        <v>45</v>
      </c>
      <c r="AM9" s="31" t="s">
        <v>45</v>
      </c>
      <c r="AN9" s="31" t="s">
        <v>45</v>
      </c>
      <c r="AO9" s="31" t="s">
        <v>45</v>
      </c>
      <c r="AP9" s="31" t="s">
        <v>46</v>
      </c>
      <c r="AQ9" s="31" t="s">
        <v>45</v>
      </c>
      <c r="AR9" s="31" t="s">
        <v>47</v>
      </c>
      <c r="AS9" s="9" t="s">
        <v>47</v>
      </c>
      <c r="AT9" s="31" t="s">
        <v>45</v>
      </c>
      <c r="AU9" s="31" t="s">
        <v>45</v>
      </c>
      <c r="AV9" s="31" t="s">
        <v>45</v>
      </c>
      <c r="AW9" s="9"/>
      <c r="AX9" s="36"/>
      <c r="AY9" s="9"/>
      <c r="AZ9" s="9"/>
      <c r="BA9" s="9"/>
      <c r="BB9" s="23"/>
      <c r="BC9" s="23"/>
      <c r="BD9" s="37"/>
      <c r="BE9" s="37"/>
      <c r="BF9" s="37"/>
      <c r="BG9" s="25"/>
    </row>
    <row r="10" ht="50" customHeight="1" spans="1:59">
      <c r="A10" s="38">
        <v>1</v>
      </c>
      <c r="B10" s="38" t="s">
        <v>17</v>
      </c>
      <c r="C10" s="39" t="s">
        <v>48</v>
      </c>
      <c r="D10" s="79" t="s">
        <v>52</v>
      </c>
      <c r="E10" s="79" t="s">
        <v>59</v>
      </c>
      <c r="F10" s="79" t="s">
        <v>53</v>
      </c>
      <c r="G10" s="79" t="s">
        <v>59</v>
      </c>
      <c r="H10" s="79" t="s">
        <v>57</v>
      </c>
      <c r="I10" s="79" t="s">
        <v>89</v>
      </c>
      <c r="J10" s="99" t="s">
        <v>90</v>
      </c>
      <c r="K10" s="79" t="s">
        <v>52</v>
      </c>
      <c r="L10" s="79" t="s">
        <v>50</v>
      </c>
      <c r="M10" s="79" t="s">
        <v>61</v>
      </c>
      <c r="N10" s="79" t="s">
        <v>50</v>
      </c>
      <c r="O10" s="79" t="s">
        <v>50</v>
      </c>
      <c r="P10" s="100" t="s">
        <v>6</v>
      </c>
      <c r="Q10" s="79" t="s">
        <v>91</v>
      </c>
      <c r="R10" s="76" t="s">
        <v>92</v>
      </c>
      <c r="S10" s="77"/>
      <c r="T10" s="77"/>
      <c r="U10" s="77"/>
      <c r="V10" s="77"/>
      <c r="W10" s="77"/>
      <c r="X10" s="77"/>
      <c r="Y10" s="77"/>
      <c r="Z10" s="78"/>
      <c r="AA10" s="79" t="s">
        <v>50</v>
      </c>
      <c r="AB10" s="79" t="s">
        <v>58</v>
      </c>
      <c r="AC10" s="79" t="s">
        <v>93</v>
      </c>
      <c r="AD10" s="79" t="s">
        <v>59</v>
      </c>
      <c r="AE10" s="100" t="s">
        <v>6</v>
      </c>
      <c r="AF10" s="69"/>
      <c r="AG10" s="101"/>
      <c r="AH10" s="69"/>
      <c r="AI10" s="45">
        <v>16</v>
      </c>
      <c r="AJ10" s="46"/>
      <c r="AK10" s="47">
        <v>14</v>
      </c>
      <c r="AL10" s="47"/>
      <c r="AM10" s="47"/>
      <c r="AN10" s="47" t="s">
        <v>94</v>
      </c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23"/>
      <c r="BC10" s="23"/>
      <c r="BD10" s="47">
        <v>362.77</v>
      </c>
      <c r="BE10" s="47">
        <f>ROUND(SUM(D14:AH14)/60,2)</f>
        <v>0.68</v>
      </c>
      <c r="BF10" s="47">
        <v>362.77</v>
      </c>
      <c r="BG10" s="49" t="s">
        <v>65</v>
      </c>
    </row>
    <row r="11" ht="50" customHeight="1" spans="1:59">
      <c r="A11" s="50"/>
      <c r="B11" s="50"/>
      <c r="C11" s="39" t="s">
        <v>48</v>
      </c>
      <c r="D11" s="79" t="s">
        <v>52</v>
      </c>
      <c r="E11" s="79" t="s">
        <v>66</v>
      </c>
      <c r="F11" s="79" t="s">
        <v>66</v>
      </c>
      <c r="G11" s="79" t="s">
        <v>66</v>
      </c>
      <c r="H11" s="79" t="s">
        <v>66</v>
      </c>
      <c r="I11" s="51" t="s">
        <v>95</v>
      </c>
      <c r="J11" s="102"/>
      <c r="K11" s="79" t="s">
        <v>52</v>
      </c>
      <c r="L11" s="79" t="s">
        <v>66</v>
      </c>
      <c r="M11" s="79" t="s">
        <v>66</v>
      </c>
      <c r="N11" s="79" t="s">
        <v>66</v>
      </c>
      <c r="O11" s="79" t="s">
        <v>66</v>
      </c>
      <c r="P11" s="103"/>
      <c r="Q11" s="51" t="s">
        <v>96</v>
      </c>
      <c r="R11" s="81"/>
      <c r="S11" s="82"/>
      <c r="T11" s="82"/>
      <c r="U11" s="82"/>
      <c r="V11" s="82"/>
      <c r="W11" s="82"/>
      <c r="X11" s="82"/>
      <c r="Y11" s="82"/>
      <c r="Z11" s="83"/>
      <c r="AA11" s="79" t="s">
        <v>66</v>
      </c>
      <c r="AB11" s="79" t="s">
        <v>66</v>
      </c>
      <c r="AC11" s="79" t="s">
        <v>66</v>
      </c>
      <c r="AD11" s="79" t="s">
        <v>66</v>
      </c>
      <c r="AE11" s="103"/>
      <c r="AF11" s="69"/>
      <c r="AG11" s="104"/>
      <c r="AH11" s="69"/>
      <c r="AI11" s="57"/>
      <c r="AJ11" s="58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23"/>
      <c r="BC11" s="23"/>
      <c r="BD11" s="59"/>
      <c r="BE11" s="59"/>
      <c r="BF11" s="59"/>
      <c r="BG11" s="60"/>
    </row>
    <row r="12" ht="50" customHeight="1" spans="1:59">
      <c r="A12" s="50"/>
      <c r="B12" s="50"/>
      <c r="C12" s="39" t="s">
        <v>70</v>
      </c>
      <c r="D12" s="79" t="s">
        <v>52</v>
      </c>
      <c r="E12" s="79" t="s">
        <v>74</v>
      </c>
      <c r="F12" s="79" t="s">
        <v>72</v>
      </c>
      <c r="G12" s="79" t="s">
        <v>97</v>
      </c>
      <c r="H12" s="79" t="s">
        <v>71</v>
      </c>
      <c r="I12" s="99" t="s">
        <v>98</v>
      </c>
      <c r="J12" s="102"/>
      <c r="K12" s="79" t="s">
        <v>52</v>
      </c>
      <c r="L12" s="79" t="s">
        <v>72</v>
      </c>
      <c r="M12" s="79" t="s">
        <v>74</v>
      </c>
      <c r="N12" s="79" t="s">
        <v>74</v>
      </c>
      <c r="O12" s="79" t="s">
        <v>71</v>
      </c>
      <c r="P12" s="103"/>
      <c r="Q12" s="79" t="s">
        <v>52</v>
      </c>
      <c r="R12" s="81"/>
      <c r="S12" s="82"/>
      <c r="T12" s="82"/>
      <c r="U12" s="82"/>
      <c r="V12" s="82"/>
      <c r="W12" s="82"/>
      <c r="X12" s="82"/>
      <c r="Y12" s="82"/>
      <c r="Z12" s="83"/>
      <c r="AA12" s="79" t="s">
        <v>99</v>
      </c>
      <c r="AB12" s="79" t="s">
        <v>72</v>
      </c>
      <c r="AC12" s="79" t="s">
        <v>74</v>
      </c>
      <c r="AD12" s="79" t="s">
        <v>72</v>
      </c>
      <c r="AE12" s="103"/>
      <c r="AF12" s="69"/>
      <c r="AG12" s="104"/>
      <c r="AH12" s="69"/>
      <c r="AI12" s="57"/>
      <c r="AJ12" s="58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23"/>
      <c r="BC12" s="23"/>
      <c r="BD12" s="59"/>
      <c r="BE12" s="59"/>
      <c r="BF12" s="59"/>
      <c r="BG12" s="60"/>
    </row>
    <row r="13" ht="50" customHeight="1" spans="1:59">
      <c r="A13" s="50"/>
      <c r="B13" s="50"/>
      <c r="C13" s="39" t="s">
        <v>70</v>
      </c>
      <c r="D13" s="79" t="s">
        <v>52</v>
      </c>
      <c r="E13" s="79" t="s">
        <v>66</v>
      </c>
      <c r="F13" s="79" t="s">
        <v>66</v>
      </c>
      <c r="G13" s="79" t="s">
        <v>66</v>
      </c>
      <c r="H13" s="79" t="s">
        <v>66</v>
      </c>
      <c r="I13" s="105"/>
      <c r="J13" s="105"/>
      <c r="K13" s="79" t="s">
        <v>52</v>
      </c>
      <c r="L13" s="79" t="s">
        <v>66</v>
      </c>
      <c r="M13" s="79" t="s">
        <v>66</v>
      </c>
      <c r="N13" s="79" t="s">
        <v>66</v>
      </c>
      <c r="O13" s="79" t="s">
        <v>66</v>
      </c>
      <c r="P13" s="106"/>
      <c r="Q13" s="51" t="s">
        <v>100</v>
      </c>
      <c r="R13" s="85"/>
      <c r="S13" s="86"/>
      <c r="T13" s="86"/>
      <c r="U13" s="86"/>
      <c r="V13" s="86"/>
      <c r="W13" s="86"/>
      <c r="X13" s="86"/>
      <c r="Y13" s="86"/>
      <c r="Z13" s="87"/>
      <c r="AA13" s="79" t="s">
        <v>66</v>
      </c>
      <c r="AB13" s="79" t="s">
        <v>66</v>
      </c>
      <c r="AC13" s="79" t="s">
        <v>66</v>
      </c>
      <c r="AD13" s="79" t="s">
        <v>66</v>
      </c>
      <c r="AE13" s="106"/>
      <c r="AF13" s="69"/>
      <c r="AG13" s="107"/>
      <c r="AH13" s="69"/>
      <c r="AI13" s="57"/>
      <c r="AJ13" s="58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23"/>
      <c r="BC13" s="23"/>
      <c r="BD13" s="59"/>
      <c r="BE13" s="59"/>
      <c r="BF13" s="59"/>
      <c r="BG13" s="60"/>
    </row>
    <row r="14" ht="55.5" spans="1:59">
      <c r="A14" s="67"/>
      <c r="B14" s="50"/>
      <c r="C14" s="68" t="s">
        <v>81</v>
      </c>
      <c r="D14" s="70"/>
      <c r="E14" s="70"/>
      <c r="F14" s="70"/>
      <c r="G14" s="70">
        <v>25</v>
      </c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>
        <v>16</v>
      </c>
      <c r="AB14" s="70"/>
      <c r="AC14" s="70"/>
      <c r="AD14" s="70"/>
      <c r="AE14" s="70"/>
      <c r="AF14" s="70"/>
      <c r="AG14" s="70"/>
      <c r="AH14" s="70"/>
      <c r="AI14" s="71"/>
      <c r="AJ14" s="72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23"/>
      <c r="BC14" s="23"/>
      <c r="BD14" s="73"/>
      <c r="BE14" s="73"/>
      <c r="BF14" s="73"/>
      <c r="BG14" s="60"/>
    </row>
    <row r="15" ht="50" customHeight="1" spans="1:59">
      <c r="A15" s="26" t="s">
        <v>82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5"/>
    </row>
    <row r="16" ht="50" customHeight="1" spans="1:59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5"/>
    </row>
    <row r="17" ht="50" customHeight="1" spans="1:59">
      <c r="A17" s="74" t="s">
        <v>83</v>
      </c>
      <c r="B17" s="74"/>
      <c r="C17" s="75"/>
      <c r="D17" s="75"/>
      <c r="E17" s="75"/>
      <c r="F17" s="75"/>
      <c r="G17" s="75"/>
      <c r="H17" s="75"/>
      <c r="I17" s="75"/>
      <c r="J17" s="75"/>
      <c r="K17" s="75" t="s">
        <v>84</v>
      </c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 t="s">
        <v>85</v>
      </c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4" t="s">
        <v>86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25"/>
    </row>
  </sheetData>
  <mergeCells count="58">
    <mergeCell ref="A1:AK1"/>
    <mergeCell ref="A6:AW6"/>
    <mergeCell ref="B7:AW7"/>
    <mergeCell ref="AI8:AJ8"/>
    <mergeCell ref="AI9:AJ9"/>
    <mergeCell ref="A17:J17"/>
    <mergeCell ref="K17:V17"/>
    <mergeCell ref="W17:AE17"/>
    <mergeCell ref="AI17:BF17"/>
    <mergeCell ref="A2:A3"/>
    <mergeCell ref="A7:A9"/>
    <mergeCell ref="A10:A14"/>
    <mergeCell ref="B2:B3"/>
    <mergeCell ref="B8:B9"/>
    <mergeCell ref="B10:B14"/>
    <mergeCell ref="C8:C9"/>
    <mergeCell ref="I12:I13"/>
    <mergeCell ref="J10:J13"/>
    <mergeCell ref="P10:P13"/>
    <mergeCell ref="AE10:AE13"/>
    <mergeCell ref="AI2:AI3"/>
    <mergeCell ref="AJ2:AJ3"/>
    <mergeCell ref="AK2:AK3"/>
    <mergeCell ref="AK10:AK14"/>
    <mergeCell ref="AL10:AL14"/>
    <mergeCell ref="AM10:AM14"/>
    <mergeCell ref="AN2:AN3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8:AW9"/>
    <mergeCell ref="AW10:AW14"/>
    <mergeCell ref="AX8:AX9"/>
    <mergeCell ref="AX10:AX14"/>
    <mergeCell ref="AY8:AY9"/>
    <mergeCell ref="AY10:AY14"/>
    <mergeCell ref="AZ8:AZ9"/>
    <mergeCell ref="AZ10:AZ14"/>
    <mergeCell ref="BA8:BA9"/>
    <mergeCell ref="BA10:BA14"/>
    <mergeCell ref="BD8:BD9"/>
    <mergeCell ref="BD10:BD14"/>
    <mergeCell ref="BE8:BE9"/>
    <mergeCell ref="BE10:BE14"/>
    <mergeCell ref="BF8:BF9"/>
    <mergeCell ref="BF10:BF14"/>
    <mergeCell ref="BG10:BG14"/>
    <mergeCell ref="AX6:BA7"/>
    <mergeCell ref="BD6:BF7"/>
    <mergeCell ref="AI10:AJ14"/>
    <mergeCell ref="A15:BF16"/>
    <mergeCell ref="R10:Z13"/>
  </mergeCells>
  <dataValidations count="1">
    <dataValidation allowBlank="1" showInputMessage="1" showErrorMessage="1" sqref="AI9 A15:AW15 A6:AW7"/>
  </dataValidations>
  <pageMargins left="0.25" right="0.25" top="0.75" bottom="0.708333333333333" header="0.298611111111111" footer="0.298611111111111"/>
  <pageSetup paperSize="9" scale="25" fitToHeight="0" orientation="landscape" horizont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G17"/>
  <sheetViews>
    <sheetView zoomScale="40" zoomScaleNormal="40" workbookViewId="0">
      <selection activeCell="AE33" sqref="AE33"/>
    </sheetView>
  </sheetViews>
  <sheetFormatPr defaultColWidth="10.625" defaultRowHeight="13.5"/>
  <cols>
    <col min="1" max="1" width="10.625" customWidth="1"/>
    <col min="2" max="2" width="15.3166666666667" customWidth="1"/>
    <col min="3" max="3" width="22.1833333333333" customWidth="1"/>
    <col min="4" max="35" width="10.625" customWidth="1"/>
    <col min="36" max="36" width="13.4333333333333" customWidth="1"/>
    <col min="37" max="37" width="17.5" customWidth="1"/>
    <col min="38" max="38" width="10.625" hidden="1" customWidth="1"/>
    <col min="39" max="39" width="10.625" customWidth="1"/>
    <col min="40" max="40" width="25" customWidth="1"/>
    <col min="41" max="41" width="15.25" hidden="1" customWidth="1"/>
    <col min="42" max="42" width="13.75" hidden="1" customWidth="1"/>
    <col min="43" max="48" width="10.625" hidden="1" customWidth="1"/>
    <col min="49" max="49" width="40.3166666666667" customWidth="1"/>
    <col min="50" max="53" width="10.625" hidden="1" customWidth="1"/>
    <col min="54" max="55" width="23.125" hidden="1" customWidth="1"/>
    <col min="56" max="56" width="21.125" customWidth="1"/>
    <col min="57" max="57" width="29.625" customWidth="1"/>
    <col min="58" max="58" width="28.625" customWidth="1"/>
    <col min="59" max="59" width="27.625" customWidth="1"/>
    <col min="60" max="16377" width="10.625" customWidth="1"/>
  </cols>
  <sheetData>
    <row r="1" ht="40" customHeight="1" spans="1:59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2"/>
      <c r="AM1" s="3"/>
      <c r="AN1" s="4"/>
      <c r="AO1" s="3"/>
      <c r="AP1" s="3"/>
      <c r="AQ1" s="3"/>
      <c r="AR1" s="3"/>
      <c r="AS1" s="3"/>
      <c r="AT1" s="3"/>
      <c r="AU1" s="3"/>
      <c r="AV1" s="3"/>
      <c r="AW1" s="3"/>
      <c r="AX1" s="5"/>
      <c r="AY1" s="5"/>
      <c r="AZ1" s="5"/>
      <c r="BA1" s="5"/>
    </row>
    <row r="2" ht="40" customHeight="1" spans="1:59">
      <c r="A2" s="1" t="s">
        <v>1</v>
      </c>
      <c r="B2" s="1" t="s">
        <v>2</v>
      </c>
      <c r="C2" s="1" t="s">
        <v>3</v>
      </c>
      <c r="D2" s="6">
        <v>1</v>
      </c>
      <c r="E2" s="6">
        <v>2</v>
      </c>
      <c r="F2" s="6">
        <v>3</v>
      </c>
      <c r="G2" s="6">
        <v>4</v>
      </c>
      <c r="H2" s="6">
        <v>5</v>
      </c>
      <c r="I2" s="6">
        <v>6</v>
      </c>
      <c r="J2" s="6">
        <v>7</v>
      </c>
      <c r="K2" s="6">
        <v>8</v>
      </c>
      <c r="L2" s="6">
        <v>9</v>
      </c>
      <c r="M2" s="6">
        <v>10</v>
      </c>
      <c r="N2" s="6">
        <v>11</v>
      </c>
      <c r="O2" s="6">
        <v>12</v>
      </c>
      <c r="P2" s="6">
        <v>13</v>
      </c>
      <c r="Q2" s="6">
        <v>14</v>
      </c>
      <c r="R2" s="6">
        <v>15</v>
      </c>
      <c r="S2" s="6">
        <v>16</v>
      </c>
      <c r="T2" s="6">
        <v>17</v>
      </c>
      <c r="U2" s="6">
        <v>18</v>
      </c>
      <c r="V2" s="6">
        <v>19</v>
      </c>
      <c r="W2" s="6">
        <v>20</v>
      </c>
      <c r="X2" s="6">
        <v>21</v>
      </c>
      <c r="Y2" s="6">
        <v>22</v>
      </c>
      <c r="Z2" s="6">
        <v>23</v>
      </c>
      <c r="AA2" s="6">
        <v>24</v>
      </c>
      <c r="AB2" s="6">
        <v>25</v>
      </c>
      <c r="AC2" s="6">
        <v>26</v>
      </c>
      <c r="AD2" s="6">
        <v>27</v>
      </c>
      <c r="AE2" s="6">
        <v>28</v>
      </c>
      <c r="AF2" s="6">
        <v>29</v>
      </c>
      <c r="AG2" s="6">
        <v>30</v>
      </c>
      <c r="AH2" s="6">
        <v>31</v>
      </c>
      <c r="AI2" s="7" t="s">
        <v>4</v>
      </c>
      <c r="AJ2" s="8" t="s">
        <v>5</v>
      </c>
      <c r="AK2" s="9" t="s">
        <v>6</v>
      </c>
      <c r="AL2" s="10"/>
      <c r="AM2" s="3"/>
      <c r="AN2" s="11"/>
      <c r="AO2" s="3"/>
      <c r="AP2" s="12"/>
      <c r="AQ2" s="12"/>
      <c r="AR2" s="3" t="s">
        <v>7</v>
      </c>
      <c r="AS2" s="3"/>
      <c r="AT2" s="3"/>
      <c r="AU2" s="3"/>
      <c r="AV2" s="3"/>
      <c r="AW2" s="3"/>
      <c r="AX2" s="5"/>
      <c r="AY2" s="5"/>
      <c r="AZ2" s="5"/>
      <c r="BA2" s="5"/>
    </row>
    <row r="3" ht="40" customHeight="1" spans="1:59">
      <c r="A3" s="1"/>
      <c r="B3" s="1"/>
      <c r="C3" s="1" t="s">
        <v>8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9</v>
      </c>
      <c r="P3" s="1" t="s">
        <v>10</v>
      </c>
      <c r="Q3" s="1" t="s">
        <v>11</v>
      </c>
      <c r="R3" s="1" t="s">
        <v>12</v>
      </c>
      <c r="S3" s="1" t="s">
        <v>13</v>
      </c>
      <c r="T3" s="1" t="s">
        <v>14</v>
      </c>
      <c r="U3" s="1" t="s">
        <v>15</v>
      </c>
      <c r="V3" s="1" t="s">
        <v>9</v>
      </c>
      <c r="W3" s="1" t="s">
        <v>10</v>
      </c>
      <c r="X3" s="1" t="s">
        <v>11</v>
      </c>
      <c r="Y3" s="1" t="s">
        <v>12</v>
      </c>
      <c r="Z3" s="1" t="s">
        <v>13</v>
      </c>
      <c r="AA3" s="1" t="s">
        <v>14</v>
      </c>
      <c r="AB3" s="1" t="s">
        <v>15</v>
      </c>
      <c r="AC3" s="1" t="s">
        <v>9</v>
      </c>
      <c r="AD3" s="1" t="s">
        <v>10</v>
      </c>
      <c r="AE3" s="1" t="s">
        <v>11</v>
      </c>
      <c r="AF3" s="1" t="s">
        <v>12</v>
      </c>
      <c r="AG3" s="1" t="s">
        <v>13</v>
      </c>
      <c r="AH3" s="1" t="s">
        <v>14</v>
      </c>
      <c r="AI3" s="13"/>
      <c r="AJ3" s="8"/>
      <c r="AK3" s="9"/>
      <c r="AL3" s="10"/>
      <c r="AM3" s="3"/>
      <c r="AN3" s="14"/>
      <c r="AO3" s="3"/>
      <c r="AP3" s="15"/>
      <c r="AQ3" s="15"/>
      <c r="AR3" s="3" t="s">
        <v>16</v>
      </c>
      <c r="AS3" s="3"/>
      <c r="AT3" s="3"/>
      <c r="AU3" s="3"/>
      <c r="AV3" s="3"/>
      <c r="AW3" s="3"/>
      <c r="AX3" s="5"/>
      <c r="AY3" s="5"/>
      <c r="AZ3" s="5"/>
      <c r="BA3" s="5"/>
    </row>
    <row r="4" ht="40" customHeight="1" spans="1:59">
      <c r="A4" s="1">
        <v>4</v>
      </c>
      <c r="B4" s="1"/>
      <c r="C4" s="16" t="s">
        <v>17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6"/>
      <c r="AJ4" s="6">
        <f>AC4+AI4</f>
        <v>0</v>
      </c>
      <c r="AK4" s="4" t="s">
        <v>18</v>
      </c>
      <c r="AL4" s="18"/>
      <c r="AM4" s="19"/>
      <c r="AN4" s="4"/>
      <c r="AO4" s="3"/>
      <c r="AP4" s="20"/>
      <c r="AQ4" s="20"/>
      <c r="AR4" s="3" t="s">
        <v>19</v>
      </c>
      <c r="AS4" s="3"/>
      <c r="AT4" s="3"/>
      <c r="AU4" s="3"/>
      <c r="AV4" s="3"/>
      <c r="AW4" s="3"/>
      <c r="AX4" s="5"/>
      <c r="AY4" s="5"/>
      <c r="AZ4" s="5"/>
      <c r="BA4" s="5"/>
    </row>
    <row r="5" ht="29.25" spans="1:59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</row>
    <row r="6" ht="50" customHeight="1" spans="1:59">
      <c r="A6" s="22" t="s">
        <v>102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3"/>
      <c r="BC6" s="23"/>
      <c r="BD6" s="24"/>
      <c r="BE6" s="24"/>
      <c r="BF6" s="24"/>
      <c r="BG6" s="25"/>
    </row>
    <row r="7" ht="50" customHeight="1" spans="1:59">
      <c r="A7" s="26" t="s">
        <v>21</v>
      </c>
      <c r="B7" s="27" t="s">
        <v>22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2"/>
      <c r="AY7" s="22"/>
      <c r="AZ7" s="22"/>
      <c r="BA7" s="22"/>
      <c r="BB7" s="23"/>
      <c r="BC7" s="23"/>
      <c r="BD7" s="24"/>
      <c r="BE7" s="24"/>
      <c r="BF7" s="24"/>
      <c r="BG7" s="25"/>
    </row>
    <row r="8" ht="50" customHeight="1" spans="1:59">
      <c r="A8" s="9"/>
      <c r="B8" s="28" t="s">
        <v>23</v>
      </c>
      <c r="C8" s="29" t="s">
        <v>24</v>
      </c>
      <c r="D8" s="6">
        <v>1</v>
      </c>
      <c r="E8" s="6">
        <v>2</v>
      </c>
      <c r="F8" s="6">
        <v>3</v>
      </c>
      <c r="G8" s="6">
        <v>4</v>
      </c>
      <c r="H8" s="6">
        <v>5</v>
      </c>
      <c r="I8" s="6">
        <v>6</v>
      </c>
      <c r="J8" s="6">
        <v>7</v>
      </c>
      <c r="K8" s="6">
        <v>8</v>
      </c>
      <c r="L8" s="6">
        <v>9</v>
      </c>
      <c r="M8" s="6">
        <v>10</v>
      </c>
      <c r="N8" s="6">
        <v>11</v>
      </c>
      <c r="O8" s="6">
        <v>12</v>
      </c>
      <c r="P8" s="6">
        <v>13</v>
      </c>
      <c r="Q8" s="6">
        <v>14</v>
      </c>
      <c r="R8" s="6">
        <v>15</v>
      </c>
      <c r="S8" s="6">
        <v>16</v>
      </c>
      <c r="T8" s="6">
        <v>17</v>
      </c>
      <c r="U8" s="6">
        <v>18</v>
      </c>
      <c r="V8" s="6">
        <v>19</v>
      </c>
      <c r="W8" s="6">
        <v>20</v>
      </c>
      <c r="X8" s="6">
        <v>21</v>
      </c>
      <c r="Y8" s="6">
        <v>22</v>
      </c>
      <c r="Z8" s="6">
        <v>23</v>
      </c>
      <c r="AA8" s="6">
        <v>24</v>
      </c>
      <c r="AB8" s="6">
        <v>25</v>
      </c>
      <c r="AC8" s="6">
        <v>26</v>
      </c>
      <c r="AD8" s="6">
        <v>27</v>
      </c>
      <c r="AE8" s="6">
        <v>28</v>
      </c>
      <c r="AF8" s="6">
        <v>29</v>
      </c>
      <c r="AG8" s="6">
        <v>30</v>
      </c>
      <c r="AH8" s="6">
        <v>31</v>
      </c>
      <c r="AI8" s="30" t="s">
        <v>25</v>
      </c>
      <c r="AJ8" s="30"/>
      <c r="AK8" s="30" t="s">
        <v>26</v>
      </c>
      <c r="AL8" s="30" t="s">
        <v>27</v>
      </c>
      <c r="AM8" s="31" t="s">
        <v>28</v>
      </c>
      <c r="AN8" s="31" t="s">
        <v>6</v>
      </c>
      <c r="AO8" s="31" t="s">
        <v>29</v>
      </c>
      <c r="AP8" s="31" t="s">
        <v>30</v>
      </c>
      <c r="AQ8" s="31" t="s">
        <v>31</v>
      </c>
      <c r="AR8" s="30" t="s">
        <v>32</v>
      </c>
      <c r="AS8" s="26" t="s">
        <v>33</v>
      </c>
      <c r="AT8" s="30" t="s">
        <v>34</v>
      </c>
      <c r="AU8" s="30" t="s">
        <v>35</v>
      </c>
      <c r="AV8" s="26" t="s">
        <v>36</v>
      </c>
      <c r="AW8" s="9" t="s">
        <v>37</v>
      </c>
      <c r="AX8" s="32" t="s">
        <v>38</v>
      </c>
      <c r="AY8" s="26" t="s">
        <v>39</v>
      </c>
      <c r="AZ8" s="26" t="s">
        <v>40</v>
      </c>
      <c r="BA8" s="26" t="s">
        <v>41</v>
      </c>
      <c r="BB8" s="23"/>
      <c r="BC8" s="23"/>
      <c r="BD8" s="33" t="s">
        <v>42</v>
      </c>
      <c r="BE8" s="33" t="s">
        <v>43</v>
      </c>
      <c r="BF8" s="33" t="s">
        <v>44</v>
      </c>
      <c r="BG8" s="25"/>
    </row>
    <row r="9" ht="50" customHeight="1" spans="1:59">
      <c r="A9" s="9"/>
      <c r="B9" s="34"/>
      <c r="C9" s="35"/>
      <c r="D9" s="1" t="s">
        <v>12</v>
      </c>
      <c r="E9" s="1" t="s">
        <v>13</v>
      </c>
      <c r="F9" s="1" t="s">
        <v>14</v>
      </c>
      <c r="G9" s="1" t="s">
        <v>15</v>
      </c>
      <c r="H9" s="1" t="s">
        <v>9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15</v>
      </c>
      <c r="O9" s="1" t="s">
        <v>9</v>
      </c>
      <c r="P9" s="1" t="s">
        <v>10</v>
      </c>
      <c r="Q9" s="1" t="s">
        <v>11</v>
      </c>
      <c r="R9" s="1" t="s">
        <v>12</v>
      </c>
      <c r="S9" s="1" t="s">
        <v>13</v>
      </c>
      <c r="T9" s="1" t="s">
        <v>14</v>
      </c>
      <c r="U9" s="1" t="s">
        <v>15</v>
      </c>
      <c r="V9" s="1" t="s">
        <v>9</v>
      </c>
      <c r="W9" s="1" t="s">
        <v>10</v>
      </c>
      <c r="X9" s="1" t="s">
        <v>11</v>
      </c>
      <c r="Y9" s="1" t="s">
        <v>12</v>
      </c>
      <c r="Z9" s="1" t="s">
        <v>13</v>
      </c>
      <c r="AA9" s="1" t="s">
        <v>14</v>
      </c>
      <c r="AB9" s="1" t="s">
        <v>15</v>
      </c>
      <c r="AC9" s="1" t="s">
        <v>9</v>
      </c>
      <c r="AD9" s="1" t="s">
        <v>10</v>
      </c>
      <c r="AE9" s="1" t="s">
        <v>11</v>
      </c>
      <c r="AF9" s="1" t="s">
        <v>12</v>
      </c>
      <c r="AG9" s="1" t="s">
        <v>13</v>
      </c>
      <c r="AH9" s="1" t="s">
        <v>14</v>
      </c>
      <c r="AI9" s="31" t="s">
        <v>45</v>
      </c>
      <c r="AJ9" s="31"/>
      <c r="AK9" s="31" t="s">
        <v>45</v>
      </c>
      <c r="AL9" s="31" t="s">
        <v>45</v>
      </c>
      <c r="AM9" s="31" t="s">
        <v>45</v>
      </c>
      <c r="AN9" s="31" t="s">
        <v>45</v>
      </c>
      <c r="AO9" s="31" t="s">
        <v>45</v>
      </c>
      <c r="AP9" s="31" t="s">
        <v>46</v>
      </c>
      <c r="AQ9" s="31" t="s">
        <v>45</v>
      </c>
      <c r="AR9" s="31" t="s">
        <v>47</v>
      </c>
      <c r="AS9" s="9" t="s">
        <v>47</v>
      </c>
      <c r="AT9" s="31" t="s">
        <v>45</v>
      </c>
      <c r="AU9" s="31" t="s">
        <v>45</v>
      </c>
      <c r="AV9" s="31" t="s">
        <v>45</v>
      </c>
      <c r="AW9" s="9"/>
      <c r="AX9" s="36"/>
      <c r="AY9" s="9"/>
      <c r="AZ9" s="9"/>
      <c r="BA9" s="9"/>
      <c r="BB9" s="23"/>
      <c r="BC9" s="23"/>
      <c r="BD9" s="37"/>
      <c r="BE9" s="37"/>
      <c r="BF9" s="37"/>
      <c r="BG9" s="25"/>
    </row>
    <row r="10" ht="50" customHeight="1" spans="1:59">
      <c r="A10" s="38">
        <v>1</v>
      </c>
      <c r="B10" s="38" t="s">
        <v>17</v>
      </c>
      <c r="C10" s="39" t="s">
        <v>48</v>
      </c>
      <c r="D10" s="94" t="s">
        <v>52</v>
      </c>
      <c r="E10" s="94" t="s">
        <v>53</v>
      </c>
      <c r="F10" s="94" t="s">
        <v>103</v>
      </c>
      <c r="G10" s="94" t="s">
        <v>57</v>
      </c>
      <c r="H10" s="94" t="s">
        <v>58</v>
      </c>
      <c r="I10" s="94" t="s">
        <v>104</v>
      </c>
      <c r="J10" s="94" t="s">
        <v>105</v>
      </c>
      <c r="K10" s="94" t="s">
        <v>52</v>
      </c>
      <c r="L10" s="94" t="s">
        <v>50</v>
      </c>
      <c r="M10" s="94" t="s">
        <v>93</v>
      </c>
      <c r="N10" s="94" t="s">
        <v>51</v>
      </c>
      <c r="O10" s="94" t="s">
        <v>53</v>
      </c>
      <c r="P10" s="94" t="s">
        <v>93</v>
      </c>
      <c r="Q10" s="95" t="s">
        <v>6</v>
      </c>
      <c r="R10" s="94" t="s">
        <v>52</v>
      </c>
      <c r="S10" s="94" t="s">
        <v>51</v>
      </c>
      <c r="T10" s="94" t="s">
        <v>53</v>
      </c>
      <c r="U10" s="94" t="s">
        <v>52</v>
      </c>
      <c r="V10" s="94" t="s">
        <v>53</v>
      </c>
      <c r="W10" s="94" t="s">
        <v>57</v>
      </c>
      <c r="X10" s="94" t="s">
        <v>106</v>
      </c>
      <c r="Y10" s="94" t="s">
        <v>52</v>
      </c>
      <c r="Z10" s="94" t="s">
        <v>107</v>
      </c>
      <c r="AA10" s="94" t="s">
        <v>108</v>
      </c>
      <c r="AB10" s="94" t="s">
        <v>52</v>
      </c>
      <c r="AC10" s="94" t="s">
        <v>52</v>
      </c>
      <c r="AD10" s="94" t="s">
        <v>52</v>
      </c>
      <c r="AE10" s="94" t="s">
        <v>52</v>
      </c>
      <c r="AF10" s="94" t="s">
        <v>52</v>
      </c>
      <c r="AG10" s="94" t="s">
        <v>109</v>
      </c>
      <c r="AH10" s="94" t="s">
        <v>110</v>
      </c>
      <c r="AI10" s="45">
        <v>26</v>
      </c>
      <c r="AJ10" s="46"/>
      <c r="AK10" s="47" t="s">
        <v>111</v>
      </c>
      <c r="AL10" s="47"/>
      <c r="AM10" s="47"/>
      <c r="AN10" s="47" t="s">
        <v>112</v>
      </c>
      <c r="AO10" s="47"/>
      <c r="AP10" s="47"/>
      <c r="AQ10" s="47"/>
      <c r="AR10" s="47"/>
      <c r="AS10" s="47"/>
      <c r="AT10" s="47"/>
      <c r="AU10" s="47"/>
      <c r="AV10" s="47"/>
      <c r="AW10" s="48" t="s">
        <v>113</v>
      </c>
      <c r="AX10" s="47"/>
      <c r="AY10" s="47"/>
      <c r="AZ10" s="47"/>
      <c r="BA10" s="47"/>
      <c r="BB10" s="23"/>
      <c r="BC10" s="23"/>
      <c r="BD10" s="47">
        <v>362.77</v>
      </c>
      <c r="BE10" s="47">
        <f>ROUND(SUM(D14:AH14)/60,2)</f>
        <v>6.5</v>
      </c>
      <c r="BF10" s="47">
        <f>BD10-BE10</f>
        <v>356.27</v>
      </c>
      <c r="BG10" s="49" t="s">
        <v>65</v>
      </c>
    </row>
    <row r="11" ht="50" customHeight="1" spans="1:59">
      <c r="A11" s="50"/>
      <c r="B11" s="50"/>
      <c r="C11" s="39" t="s">
        <v>48</v>
      </c>
      <c r="D11" s="94" t="s">
        <v>52</v>
      </c>
      <c r="E11" s="94" t="s">
        <v>66</v>
      </c>
      <c r="F11" s="96" t="s">
        <v>114</v>
      </c>
      <c r="G11" s="94" t="s">
        <v>66</v>
      </c>
      <c r="H11" s="94" t="s">
        <v>66</v>
      </c>
      <c r="I11" s="96" t="s">
        <v>115</v>
      </c>
      <c r="J11" s="94" t="s">
        <v>66</v>
      </c>
      <c r="K11" s="94" t="s">
        <v>52</v>
      </c>
      <c r="L11" s="94" t="s">
        <v>66</v>
      </c>
      <c r="M11" s="94" t="s">
        <v>66</v>
      </c>
      <c r="N11" s="94" t="s">
        <v>66</v>
      </c>
      <c r="O11" s="94" t="s">
        <v>66</v>
      </c>
      <c r="P11" s="94" t="s">
        <v>66</v>
      </c>
      <c r="Q11" s="97"/>
      <c r="R11" s="94" t="s">
        <v>52</v>
      </c>
      <c r="S11" s="94" t="s">
        <v>66</v>
      </c>
      <c r="T11" s="94" t="s">
        <v>66</v>
      </c>
      <c r="U11" s="96" t="s">
        <v>67</v>
      </c>
      <c r="V11" s="94" t="s">
        <v>66</v>
      </c>
      <c r="W11" s="94" t="s">
        <v>66</v>
      </c>
      <c r="X11" s="94" t="s">
        <v>66</v>
      </c>
      <c r="Y11" s="94" t="s">
        <v>52</v>
      </c>
      <c r="Z11" s="96" t="s">
        <v>116</v>
      </c>
      <c r="AA11" s="96" t="s">
        <v>117</v>
      </c>
      <c r="AB11" s="96" t="s">
        <v>67</v>
      </c>
      <c r="AC11" s="96" t="s">
        <v>67</v>
      </c>
      <c r="AD11" s="96" t="s">
        <v>67</v>
      </c>
      <c r="AE11" s="96" t="s">
        <v>67</v>
      </c>
      <c r="AF11" s="94" t="s">
        <v>52</v>
      </c>
      <c r="AG11" s="96" t="s">
        <v>118</v>
      </c>
      <c r="AH11" s="96" t="s">
        <v>119</v>
      </c>
      <c r="AI11" s="57"/>
      <c r="AJ11" s="58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23"/>
      <c r="BC11" s="23"/>
      <c r="BD11" s="59"/>
      <c r="BE11" s="59"/>
      <c r="BF11" s="59"/>
      <c r="BG11" s="60"/>
    </row>
    <row r="12" ht="50" customHeight="1" spans="1:59">
      <c r="A12" s="50"/>
      <c r="B12" s="50"/>
      <c r="C12" s="39" t="s">
        <v>70</v>
      </c>
      <c r="D12" s="94" t="s">
        <v>52</v>
      </c>
      <c r="E12" s="94" t="s">
        <v>120</v>
      </c>
      <c r="F12" s="94" t="s">
        <v>52</v>
      </c>
      <c r="G12" s="94" t="s">
        <v>71</v>
      </c>
      <c r="H12" s="94" t="s">
        <v>78</v>
      </c>
      <c r="I12" s="94" t="s">
        <v>76</v>
      </c>
      <c r="J12" s="94" t="s">
        <v>71</v>
      </c>
      <c r="K12" s="94" t="s">
        <v>52</v>
      </c>
      <c r="L12" s="94" t="s">
        <v>121</v>
      </c>
      <c r="M12" s="94" t="s">
        <v>122</v>
      </c>
      <c r="N12" s="94" t="s">
        <v>71</v>
      </c>
      <c r="O12" s="94" t="s">
        <v>71</v>
      </c>
      <c r="P12" s="94" t="s">
        <v>71</v>
      </c>
      <c r="Q12" s="97"/>
      <c r="R12" s="94" t="s">
        <v>52</v>
      </c>
      <c r="S12" s="94" t="s">
        <v>71</v>
      </c>
      <c r="T12" s="94" t="s">
        <v>71</v>
      </c>
      <c r="U12" s="94" t="s">
        <v>71</v>
      </c>
      <c r="V12" s="94" t="s">
        <v>71</v>
      </c>
      <c r="W12" s="94" t="s">
        <v>122</v>
      </c>
      <c r="X12" s="94" t="s">
        <v>71</v>
      </c>
      <c r="Y12" s="94" t="s">
        <v>52</v>
      </c>
      <c r="Z12" s="94" t="s">
        <v>74</v>
      </c>
      <c r="AA12" s="94" t="s">
        <v>52</v>
      </c>
      <c r="AB12" s="94" t="s">
        <v>52</v>
      </c>
      <c r="AC12" s="94" t="s">
        <v>52</v>
      </c>
      <c r="AD12" s="94" t="s">
        <v>52</v>
      </c>
      <c r="AE12" s="94" t="s">
        <v>52</v>
      </c>
      <c r="AF12" s="94" t="s">
        <v>52</v>
      </c>
      <c r="AG12" s="94" t="s">
        <v>74</v>
      </c>
      <c r="AH12" s="94" t="s">
        <v>123</v>
      </c>
      <c r="AI12" s="57"/>
      <c r="AJ12" s="58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23"/>
      <c r="BC12" s="23"/>
      <c r="BD12" s="59"/>
      <c r="BE12" s="59"/>
      <c r="BF12" s="59"/>
      <c r="BG12" s="60"/>
    </row>
    <row r="13" ht="50" customHeight="1" spans="1:59">
      <c r="A13" s="50"/>
      <c r="B13" s="50"/>
      <c r="C13" s="39" t="s">
        <v>70</v>
      </c>
      <c r="D13" s="94" t="s">
        <v>52</v>
      </c>
      <c r="E13" s="94" t="s">
        <v>66</v>
      </c>
      <c r="F13" s="96" t="s">
        <v>100</v>
      </c>
      <c r="G13" s="94" t="s">
        <v>66</v>
      </c>
      <c r="H13" s="94" t="s">
        <v>66</v>
      </c>
      <c r="I13" s="94" t="s">
        <v>66</v>
      </c>
      <c r="J13" s="94" t="s">
        <v>66</v>
      </c>
      <c r="K13" s="94" t="s">
        <v>52</v>
      </c>
      <c r="L13" s="94" t="s">
        <v>66</v>
      </c>
      <c r="M13" s="94" t="s">
        <v>66</v>
      </c>
      <c r="N13" s="94" t="s">
        <v>66</v>
      </c>
      <c r="O13" s="94" t="s">
        <v>66</v>
      </c>
      <c r="P13" s="94" t="s">
        <v>66</v>
      </c>
      <c r="Q13" s="98"/>
      <c r="R13" s="94" t="s">
        <v>52</v>
      </c>
      <c r="S13" s="94" t="s">
        <v>66</v>
      </c>
      <c r="T13" s="94" t="s">
        <v>66</v>
      </c>
      <c r="U13" s="94" t="s">
        <v>66</v>
      </c>
      <c r="V13" s="94" t="s">
        <v>66</v>
      </c>
      <c r="W13" s="94" t="s">
        <v>66</v>
      </c>
      <c r="X13" s="94" t="s">
        <v>66</v>
      </c>
      <c r="Y13" s="94" t="s">
        <v>52</v>
      </c>
      <c r="Z13" s="94" t="s">
        <v>66</v>
      </c>
      <c r="AA13" s="96" t="s">
        <v>100</v>
      </c>
      <c r="AB13" s="96" t="s">
        <v>100</v>
      </c>
      <c r="AC13" s="96" t="s">
        <v>100</v>
      </c>
      <c r="AD13" s="96" t="s">
        <v>100</v>
      </c>
      <c r="AE13" s="96" t="s">
        <v>100</v>
      </c>
      <c r="AF13" s="94" t="s">
        <v>52</v>
      </c>
      <c r="AG13" s="94" t="s">
        <v>66</v>
      </c>
      <c r="AH13" s="94" t="s">
        <v>66</v>
      </c>
      <c r="AI13" s="57"/>
      <c r="AJ13" s="58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23"/>
      <c r="BC13" s="23"/>
      <c r="BD13" s="59"/>
      <c r="BE13" s="59"/>
      <c r="BF13" s="59"/>
      <c r="BG13" s="60"/>
    </row>
    <row r="14" ht="55.5" spans="1:59">
      <c r="A14" s="67"/>
      <c r="B14" s="50"/>
      <c r="C14" s="68" t="s">
        <v>81</v>
      </c>
      <c r="D14" s="70"/>
      <c r="E14" s="70"/>
      <c r="F14" s="70"/>
      <c r="G14" s="70"/>
      <c r="H14" s="70">
        <v>120</v>
      </c>
      <c r="I14" s="70">
        <v>120</v>
      </c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>
        <v>150</v>
      </c>
      <c r="AI14" s="71"/>
      <c r="AJ14" s="72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23"/>
      <c r="BC14" s="23"/>
      <c r="BD14" s="73"/>
      <c r="BE14" s="73"/>
      <c r="BF14" s="73"/>
      <c r="BG14" s="60"/>
    </row>
    <row r="15" ht="50" customHeight="1" spans="1:59">
      <c r="A15" s="26" t="s">
        <v>82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5"/>
    </row>
    <row r="16" ht="50" customHeight="1" spans="1:59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5"/>
    </row>
    <row r="17" ht="50" customHeight="1" spans="1:59">
      <c r="A17" s="74" t="s">
        <v>83</v>
      </c>
      <c r="B17" s="74"/>
      <c r="C17" s="75"/>
      <c r="D17" s="75"/>
      <c r="E17" s="75"/>
      <c r="F17" s="75"/>
      <c r="G17" s="75"/>
      <c r="H17" s="75"/>
      <c r="I17" s="75"/>
      <c r="J17" s="75"/>
      <c r="K17" s="75" t="s">
        <v>84</v>
      </c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 t="s">
        <v>85</v>
      </c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4" t="s">
        <v>86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25"/>
    </row>
  </sheetData>
  <mergeCells count="54">
    <mergeCell ref="A1:AK1"/>
    <mergeCell ref="A6:AW6"/>
    <mergeCell ref="B7:AW7"/>
    <mergeCell ref="AI8:AJ8"/>
    <mergeCell ref="AI9:AJ9"/>
    <mergeCell ref="A17:J17"/>
    <mergeCell ref="K17:V17"/>
    <mergeCell ref="W17:AE17"/>
    <mergeCell ref="AI17:BF17"/>
    <mergeCell ref="A2:A3"/>
    <mergeCell ref="A7:A9"/>
    <mergeCell ref="A10:A14"/>
    <mergeCell ref="B2:B3"/>
    <mergeCell ref="B8:B9"/>
    <mergeCell ref="B10:B14"/>
    <mergeCell ref="C8:C9"/>
    <mergeCell ref="Q10:Q13"/>
    <mergeCell ref="AI2:AI3"/>
    <mergeCell ref="AJ2:AJ3"/>
    <mergeCell ref="AK2:AK3"/>
    <mergeCell ref="AK10:AK14"/>
    <mergeCell ref="AL10:AL14"/>
    <mergeCell ref="AM10:AM14"/>
    <mergeCell ref="AN2:AN3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8:AW9"/>
    <mergeCell ref="AW10:AW14"/>
    <mergeCell ref="AX8:AX9"/>
    <mergeCell ref="AX10:AX14"/>
    <mergeCell ref="AY8:AY9"/>
    <mergeCell ref="AY10:AY14"/>
    <mergeCell ref="AZ8:AZ9"/>
    <mergeCell ref="AZ10:AZ14"/>
    <mergeCell ref="BA8:BA9"/>
    <mergeCell ref="BA10:BA14"/>
    <mergeCell ref="BD8:BD9"/>
    <mergeCell ref="BD10:BD14"/>
    <mergeCell ref="BE8:BE9"/>
    <mergeCell ref="BE10:BE14"/>
    <mergeCell ref="BF8:BF9"/>
    <mergeCell ref="BF10:BF14"/>
    <mergeCell ref="BG10:BG14"/>
    <mergeCell ref="AX6:BA7"/>
    <mergeCell ref="BD6:BF7"/>
    <mergeCell ref="AI10:AJ14"/>
    <mergeCell ref="A15:BF16"/>
  </mergeCells>
  <dataValidations count="1">
    <dataValidation allowBlank="1" showInputMessage="1" showErrorMessage="1" sqref="AI9 A15:AW15 A6:AW7"/>
  </dataValidations>
  <pageMargins left="0.25" right="0.25" top="0.75" bottom="0.708333333333333" header="0.298611111111111" footer="0.298611111111111"/>
  <pageSetup paperSize="9" scale="25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F17"/>
  <sheetViews>
    <sheetView zoomScale="40" zoomScaleNormal="40" workbookViewId="0">
      <selection activeCell="AG38" sqref="AG38"/>
    </sheetView>
  </sheetViews>
  <sheetFormatPr defaultColWidth="10.625" defaultRowHeight="13.5"/>
  <cols>
    <col min="1" max="1" width="10.625" customWidth="1"/>
    <col min="2" max="2" width="15.3166666666667" customWidth="1"/>
    <col min="3" max="3" width="22.1833333333333" customWidth="1"/>
    <col min="4" max="34" width="10.625" customWidth="1"/>
    <col min="35" max="35" width="13.4333333333333" customWidth="1"/>
    <col min="36" max="36" width="17.5" customWidth="1"/>
    <col min="37" max="37" width="10.625" hidden="1" customWidth="1"/>
    <col min="38" max="38" width="10.625" customWidth="1"/>
    <col min="39" max="39" width="25" customWidth="1"/>
    <col min="40" max="40" width="15.25" hidden="1" customWidth="1"/>
    <col min="41" max="41" width="13.75" hidden="1" customWidth="1"/>
    <col min="42" max="47" width="10.625" hidden="1" customWidth="1"/>
    <col min="48" max="48" width="40.3166666666667" customWidth="1"/>
    <col min="49" max="52" width="10.625" hidden="1" customWidth="1"/>
    <col min="53" max="54" width="23.125" hidden="1" customWidth="1"/>
    <col min="55" max="55" width="21.125" customWidth="1"/>
    <col min="56" max="56" width="29.625" customWidth="1"/>
    <col min="57" max="57" width="28.625" customWidth="1"/>
    <col min="58" max="58" width="27.625" customWidth="1"/>
    <col min="59" max="16376" width="10.625" customWidth="1"/>
  </cols>
  <sheetData>
    <row r="1" ht="40" customHeight="1" spans="1:58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2"/>
      <c r="AL1" s="3"/>
      <c r="AM1" s="4"/>
      <c r="AN1" s="3"/>
      <c r="AO1" s="3"/>
      <c r="AP1" s="3"/>
      <c r="AQ1" s="3"/>
      <c r="AR1" s="3"/>
      <c r="AS1" s="3"/>
      <c r="AT1" s="3"/>
      <c r="AU1" s="3"/>
      <c r="AV1" s="3"/>
      <c r="AW1" s="5"/>
      <c r="AX1" s="5"/>
      <c r="AY1" s="5"/>
      <c r="AZ1" s="5"/>
    </row>
    <row r="2" ht="40" customHeight="1" spans="1:58">
      <c r="A2" s="1" t="s">
        <v>1</v>
      </c>
      <c r="B2" s="1" t="s">
        <v>2</v>
      </c>
      <c r="C2" s="1" t="s">
        <v>3</v>
      </c>
      <c r="D2" s="6">
        <v>1</v>
      </c>
      <c r="E2" s="6">
        <v>2</v>
      </c>
      <c r="F2" s="6">
        <v>3</v>
      </c>
      <c r="G2" s="6">
        <v>4</v>
      </c>
      <c r="H2" s="6">
        <v>5</v>
      </c>
      <c r="I2" s="6">
        <v>6</v>
      </c>
      <c r="J2" s="6">
        <v>7</v>
      </c>
      <c r="K2" s="6">
        <v>8</v>
      </c>
      <c r="L2" s="6">
        <v>9</v>
      </c>
      <c r="M2" s="6">
        <v>10</v>
      </c>
      <c r="N2" s="6">
        <v>11</v>
      </c>
      <c r="O2" s="6">
        <v>12</v>
      </c>
      <c r="P2" s="6">
        <v>13</v>
      </c>
      <c r="Q2" s="6">
        <v>14</v>
      </c>
      <c r="R2" s="6">
        <v>15</v>
      </c>
      <c r="S2" s="6">
        <v>16</v>
      </c>
      <c r="T2" s="6">
        <v>17</v>
      </c>
      <c r="U2" s="6">
        <v>18</v>
      </c>
      <c r="V2" s="6">
        <v>19</v>
      </c>
      <c r="W2" s="6">
        <v>20</v>
      </c>
      <c r="X2" s="6">
        <v>21</v>
      </c>
      <c r="Y2" s="6">
        <v>22</v>
      </c>
      <c r="Z2" s="6">
        <v>23</v>
      </c>
      <c r="AA2" s="6">
        <v>24</v>
      </c>
      <c r="AB2" s="6">
        <v>25</v>
      </c>
      <c r="AC2" s="6">
        <v>26</v>
      </c>
      <c r="AD2" s="6">
        <v>27</v>
      </c>
      <c r="AE2" s="6">
        <v>28</v>
      </c>
      <c r="AF2" s="6">
        <v>29</v>
      </c>
      <c r="AG2" s="6">
        <v>30</v>
      </c>
      <c r="AH2" s="7" t="s">
        <v>4</v>
      </c>
      <c r="AI2" s="8" t="s">
        <v>5</v>
      </c>
      <c r="AJ2" s="9" t="s">
        <v>6</v>
      </c>
      <c r="AK2" s="10"/>
      <c r="AL2" s="3"/>
      <c r="AM2" s="11"/>
      <c r="AN2" s="3"/>
      <c r="AO2" s="12"/>
      <c r="AP2" s="12"/>
      <c r="AQ2" s="3" t="s">
        <v>7</v>
      </c>
      <c r="AR2" s="3"/>
      <c r="AS2" s="3"/>
      <c r="AT2" s="3"/>
      <c r="AU2" s="3"/>
      <c r="AV2" s="3"/>
      <c r="AW2" s="5"/>
      <c r="AX2" s="5"/>
      <c r="AY2" s="5"/>
      <c r="AZ2" s="5"/>
    </row>
    <row r="3" ht="40" customHeight="1" spans="1:58">
      <c r="A3" s="1"/>
      <c r="B3" s="1"/>
      <c r="C3" s="1" t="s">
        <v>8</v>
      </c>
      <c r="D3" s="1" t="s">
        <v>15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9</v>
      </c>
      <c r="T3" s="1" t="s">
        <v>10</v>
      </c>
      <c r="U3" s="1" t="s">
        <v>11</v>
      </c>
      <c r="V3" s="1" t="s">
        <v>12</v>
      </c>
      <c r="W3" s="1" t="s">
        <v>13</v>
      </c>
      <c r="X3" s="1" t="s">
        <v>14</v>
      </c>
      <c r="Y3" s="1" t="s">
        <v>15</v>
      </c>
      <c r="Z3" s="1" t="s">
        <v>9</v>
      </c>
      <c r="AA3" s="1" t="s">
        <v>10</v>
      </c>
      <c r="AB3" s="1" t="s">
        <v>11</v>
      </c>
      <c r="AC3" s="1" t="s">
        <v>12</v>
      </c>
      <c r="AD3" s="1" t="s">
        <v>13</v>
      </c>
      <c r="AE3" s="1" t="s">
        <v>14</v>
      </c>
      <c r="AF3" s="1" t="s">
        <v>15</v>
      </c>
      <c r="AG3" s="1" t="s">
        <v>9</v>
      </c>
      <c r="AH3" s="13"/>
      <c r="AI3" s="8"/>
      <c r="AJ3" s="9"/>
      <c r="AK3" s="10"/>
      <c r="AL3" s="3"/>
      <c r="AM3" s="14"/>
      <c r="AN3" s="3"/>
      <c r="AO3" s="15"/>
      <c r="AP3" s="15"/>
      <c r="AQ3" s="3" t="s">
        <v>16</v>
      </c>
      <c r="AR3" s="3"/>
      <c r="AS3" s="3"/>
      <c r="AT3" s="3"/>
      <c r="AU3" s="3"/>
      <c r="AV3" s="3"/>
      <c r="AW3" s="5"/>
      <c r="AX3" s="5"/>
      <c r="AY3" s="5"/>
      <c r="AZ3" s="5"/>
    </row>
    <row r="4" ht="40" customHeight="1" spans="1:58">
      <c r="A4" s="1">
        <v>4</v>
      </c>
      <c r="B4" s="1"/>
      <c r="C4" s="16" t="s">
        <v>17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>
        <v>8</v>
      </c>
      <c r="AD4" s="17"/>
      <c r="AE4" s="17"/>
      <c r="AF4" s="17"/>
      <c r="AG4" s="17"/>
      <c r="AH4" s="6"/>
      <c r="AI4" s="6">
        <f>AC4+AH4</f>
        <v>8</v>
      </c>
      <c r="AJ4" s="4" t="s">
        <v>18</v>
      </c>
      <c r="AK4" s="18"/>
      <c r="AL4" s="19"/>
      <c r="AM4" s="4"/>
      <c r="AN4" s="3"/>
      <c r="AO4" s="20"/>
      <c r="AP4" s="20"/>
      <c r="AQ4" s="3" t="s">
        <v>19</v>
      </c>
      <c r="AR4" s="3"/>
      <c r="AS4" s="3"/>
      <c r="AT4" s="3"/>
      <c r="AU4" s="3"/>
      <c r="AV4" s="3"/>
      <c r="AW4" s="5"/>
      <c r="AX4" s="5"/>
      <c r="AY4" s="5"/>
      <c r="AZ4" s="5"/>
    </row>
    <row r="5" ht="29.25" spans="1:58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</row>
    <row r="6" ht="50" customHeight="1" spans="1:58">
      <c r="A6" s="22" t="s">
        <v>125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3"/>
      <c r="BB6" s="23"/>
      <c r="BC6" s="24"/>
      <c r="BD6" s="24"/>
      <c r="BE6" s="24"/>
      <c r="BF6" s="25"/>
    </row>
    <row r="7" ht="50" customHeight="1" spans="1:58">
      <c r="A7" s="26" t="s">
        <v>21</v>
      </c>
      <c r="B7" s="27" t="s">
        <v>22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2"/>
      <c r="AX7" s="22"/>
      <c r="AY7" s="22"/>
      <c r="AZ7" s="22"/>
      <c r="BA7" s="23"/>
      <c r="BB7" s="23"/>
      <c r="BC7" s="24"/>
      <c r="BD7" s="24"/>
      <c r="BE7" s="24"/>
      <c r="BF7" s="25"/>
    </row>
    <row r="8" ht="50" customHeight="1" spans="1:58">
      <c r="A8" s="9"/>
      <c r="B8" s="28" t="s">
        <v>23</v>
      </c>
      <c r="C8" s="29" t="s">
        <v>24</v>
      </c>
      <c r="D8" s="6">
        <v>1</v>
      </c>
      <c r="E8" s="6">
        <v>2</v>
      </c>
      <c r="F8" s="6">
        <v>3</v>
      </c>
      <c r="G8" s="6">
        <v>4</v>
      </c>
      <c r="H8" s="6">
        <v>5</v>
      </c>
      <c r="I8" s="6">
        <v>6</v>
      </c>
      <c r="J8" s="6">
        <v>7</v>
      </c>
      <c r="K8" s="6">
        <v>8</v>
      </c>
      <c r="L8" s="6">
        <v>9</v>
      </c>
      <c r="M8" s="6">
        <v>10</v>
      </c>
      <c r="N8" s="6">
        <v>11</v>
      </c>
      <c r="O8" s="6">
        <v>12</v>
      </c>
      <c r="P8" s="6">
        <v>13</v>
      </c>
      <c r="Q8" s="6">
        <v>14</v>
      </c>
      <c r="R8" s="6">
        <v>15</v>
      </c>
      <c r="S8" s="6">
        <v>16</v>
      </c>
      <c r="T8" s="6">
        <v>17</v>
      </c>
      <c r="U8" s="6">
        <v>18</v>
      </c>
      <c r="V8" s="6">
        <v>19</v>
      </c>
      <c r="W8" s="6">
        <v>20</v>
      </c>
      <c r="X8" s="6">
        <v>21</v>
      </c>
      <c r="Y8" s="6">
        <v>22</v>
      </c>
      <c r="Z8" s="6">
        <v>23</v>
      </c>
      <c r="AA8" s="6">
        <v>24</v>
      </c>
      <c r="AB8" s="6">
        <v>25</v>
      </c>
      <c r="AC8" s="6">
        <v>26</v>
      </c>
      <c r="AD8" s="6">
        <v>27</v>
      </c>
      <c r="AE8" s="6">
        <v>28</v>
      </c>
      <c r="AF8" s="6">
        <v>29</v>
      </c>
      <c r="AG8" s="6">
        <v>30</v>
      </c>
      <c r="AH8" s="30" t="s">
        <v>25</v>
      </c>
      <c r="AI8" s="30"/>
      <c r="AJ8" s="30" t="s">
        <v>26</v>
      </c>
      <c r="AK8" s="30" t="s">
        <v>27</v>
      </c>
      <c r="AL8" s="31" t="s">
        <v>28</v>
      </c>
      <c r="AM8" s="31" t="s">
        <v>6</v>
      </c>
      <c r="AN8" s="31" t="s">
        <v>29</v>
      </c>
      <c r="AO8" s="31" t="s">
        <v>30</v>
      </c>
      <c r="AP8" s="31" t="s">
        <v>31</v>
      </c>
      <c r="AQ8" s="30" t="s">
        <v>32</v>
      </c>
      <c r="AR8" s="26" t="s">
        <v>33</v>
      </c>
      <c r="AS8" s="30" t="s">
        <v>34</v>
      </c>
      <c r="AT8" s="30" t="s">
        <v>35</v>
      </c>
      <c r="AU8" s="26" t="s">
        <v>36</v>
      </c>
      <c r="AV8" s="9" t="s">
        <v>37</v>
      </c>
      <c r="AW8" s="32" t="s">
        <v>38</v>
      </c>
      <c r="AX8" s="26" t="s">
        <v>39</v>
      </c>
      <c r="AY8" s="26" t="s">
        <v>40</v>
      </c>
      <c r="AZ8" s="26" t="s">
        <v>41</v>
      </c>
      <c r="BA8" s="23"/>
      <c r="BB8" s="23"/>
      <c r="BC8" s="33" t="s">
        <v>42</v>
      </c>
      <c r="BD8" s="33" t="s">
        <v>43</v>
      </c>
      <c r="BE8" s="33" t="s">
        <v>44</v>
      </c>
      <c r="BF8" s="25"/>
    </row>
    <row r="9" ht="50" customHeight="1" spans="1:58">
      <c r="A9" s="9"/>
      <c r="B9" s="34"/>
      <c r="C9" s="35"/>
      <c r="D9" s="1" t="s">
        <v>15</v>
      </c>
      <c r="E9" s="1" t="s">
        <v>9</v>
      </c>
      <c r="F9" s="1" t="s">
        <v>10</v>
      </c>
      <c r="G9" s="1" t="s">
        <v>11</v>
      </c>
      <c r="H9" s="1" t="s">
        <v>12</v>
      </c>
      <c r="I9" s="1" t="s">
        <v>13</v>
      </c>
      <c r="J9" s="1" t="s">
        <v>14</v>
      </c>
      <c r="K9" s="1" t="s">
        <v>15</v>
      </c>
      <c r="L9" s="1" t="s">
        <v>9</v>
      </c>
      <c r="M9" s="1" t="s">
        <v>10</v>
      </c>
      <c r="N9" s="1" t="s">
        <v>11</v>
      </c>
      <c r="O9" s="1" t="s">
        <v>12</v>
      </c>
      <c r="P9" s="1" t="s">
        <v>13</v>
      </c>
      <c r="Q9" s="1" t="s">
        <v>14</v>
      </c>
      <c r="R9" s="1" t="s">
        <v>15</v>
      </c>
      <c r="S9" s="1" t="s">
        <v>9</v>
      </c>
      <c r="T9" s="1" t="s">
        <v>10</v>
      </c>
      <c r="U9" s="1" t="s">
        <v>11</v>
      </c>
      <c r="V9" s="1" t="s">
        <v>12</v>
      </c>
      <c r="W9" s="1" t="s">
        <v>13</v>
      </c>
      <c r="X9" s="1" t="s">
        <v>14</v>
      </c>
      <c r="Y9" s="1" t="s">
        <v>15</v>
      </c>
      <c r="Z9" s="1" t="s">
        <v>9</v>
      </c>
      <c r="AA9" s="1" t="s">
        <v>10</v>
      </c>
      <c r="AB9" s="1" t="s">
        <v>11</v>
      </c>
      <c r="AC9" s="1" t="s">
        <v>12</v>
      </c>
      <c r="AD9" s="1" t="s">
        <v>13</v>
      </c>
      <c r="AE9" s="1" t="s">
        <v>14</v>
      </c>
      <c r="AF9" s="1" t="s">
        <v>15</v>
      </c>
      <c r="AG9" s="1" t="s">
        <v>9</v>
      </c>
      <c r="AH9" s="31" t="s">
        <v>45</v>
      </c>
      <c r="AI9" s="31"/>
      <c r="AJ9" s="31" t="s">
        <v>45</v>
      </c>
      <c r="AK9" s="31" t="s">
        <v>45</v>
      </c>
      <c r="AL9" s="31" t="s">
        <v>45</v>
      </c>
      <c r="AM9" s="31" t="s">
        <v>45</v>
      </c>
      <c r="AN9" s="31" t="s">
        <v>45</v>
      </c>
      <c r="AO9" s="31" t="s">
        <v>46</v>
      </c>
      <c r="AP9" s="31" t="s">
        <v>45</v>
      </c>
      <c r="AQ9" s="31" t="s">
        <v>47</v>
      </c>
      <c r="AR9" s="9" t="s">
        <v>47</v>
      </c>
      <c r="AS9" s="31" t="s">
        <v>45</v>
      </c>
      <c r="AT9" s="31" t="s">
        <v>45</v>
      </c>
      <c r="AU9" s="31" t="s">
        <v>45</v>
      </c>
      <c r="AV9" s="9"/>
      <c r="AW9" s="36"/>
      <c r="AX9" s="9"/>
      <c r="AY9" s="9"/>
      <c r="AZ9" s="9"/>
      <c r="BA9" s="23"/>
      <c r="BB9" s="23"/>
      <c r="BC9" s="37"/>
      <c r="BD9" s="37"/>
      <c r="BE9" s="37"/>
      <c r="BF9" s="25"/>
    </row>
    <row r="10" ht="50" customHeight="1" spans="1:58">
      <c r="A10" s="38">
        <v>1</v>
      </c>
      <c r="B10" s="38" t="s">
        <v>17</v>
      </c>
      <c r="C10" s="39" t="s">
        <v>48</v>
      </c>
      <c r="D10" s="79" t="s">
        <v>126</v>
      </c>
      <c r="E10" s="79" t="s">
        <v>127</v>
      </c>
      <c r="F10" s="79" t="s">
        <v>128</v>
      </c>
      <c r="G10" s="89" t="s">
        <v>129</v>
      </c>
      <c r="H10" s="77"/>
      <c r="I10" s="78"/>
      <c r="J10" s="79" t="s">
        <v>130</v>
      </c>
      <c r="K10" s="79" t="s">
        <v>52</v>
      </c>
      <c r="L10" s="90" t="s">
        <v>131</v>
      </c>
      <c r="M10" s="79" t="s">
        <v>132</v>
      </c>
      <c r="N10" s="79" t="s">
        <v>133</v>
      </c>
      <c r="O10" s="79" t="s">
        <v>52</v>
      </c>
      <c r="P10" s="79" t="s">
        <v>134</v>
      </c>
      <c r="Q10" s="79" t="s">
        <v>135</v>
      </c>
      <c r="R10" s="79" t="s">
        <v>133</v>
      </c>
      <c r="S10" s="79" t="s">
        <v>136</v>
      </c>
      <c r="T10" s="79" t="s">
        <v>137</v>
      </c>
      <c r="U10" s="79" t="s">
        <v>130</v>
      </c>
      <c r="V10" s="79" t="s">
        <v>52</v>
      </c>
      <c r="W10" s="79" t="s">
        <v>136</v>
      </c>
      <c r="X10" s="79" t="s">
        <v>133</v>
      </c>
      <c r="Y10" s="79" t="s">
        <v>130</v>
      </c>
      <c r="Z10" s="79" t="s">
        <v>138</v>
      </c>
      <c r="AA10" s="79" t="s">
        <v>136</v>
      </c>
      <c r="AB10" s="79" t="s">
        <v>128</v>
      </c>
      <c r="AC10" s="91" t="s">
        <v>109</v>
      </c>
      <c r="AD10" s="79" t="s">
        <v>126</v>
      </c>
      <c r="AE10" s="79" t="s">
        <v>109</v>
      </c>
      <c r="AF10" s="79" t="s">
        <v>139</v>
      </c>
      <c r="AG10" s="79" t="s">
        <v>140</v>
      </c>
      <c r="AH10" s="45">
        <v>26</v>
      </c>
      <c r="AI10" s="46"/>
      <c r="AJ10" s="47" t="s">
        <v>111</v>
      </c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8" t="s">
        <v>113</v>
      </c>
      <c r="AW10" s="47"/>
      <c r="AX10" s="47"/>
      <c r="AY10" s="47"/>
      <c r="AZ10" s="47"/>
      <c r="BA10" s="23"/>
      <c r="BB10" s="23"/>
      <c r="BC10" s="47">
        <v>356.27</v>
      </c>
      <c r="BD10" s="47">
        <f>ROUND(SUM(D14:AG14)/60,2)</f>
        <v>14.28</v>
      </c>
      <c r="BE10" s="47">
        <f>BC10-BD10</f>
        <v>341.99</v>
      </c>
      <c r="BF10" s="49" t="s">
        <v>65</v>
      </c>
    </row>
    <row r="11" ht="50" customHeight="1" spans="1:58">
      <c r="A11" s="50"/>
      <c r="B11" s="50"/>
      <c r="C11" s="39" t="s">
        <v>48</v>
      </c>
      <c r="D11" s="51" t="s">
        <v>141</v>
      </c>
      <c r="E11" s="79" t="s">
        <v>66</v>
      </c>
      <c r="F11" s="79" t="s">
        <v>66</v>
      </c>
      <c r="G11" s="81"/>
      <c r="H11" s="82"/>
      <c r="I11" s="83"/>
      <c r="J11" s="79" t="s">
        <v>66</v>
      </c>
      <c r="K11" s="51" t="s">
        <v>142</v>
      </c>
      <c r="L11" s="92"/>
      <c r="M11" s="79" t="s">
        <v>66</v>
      </c>
      <c r="N11" s="79" t="s">
        <v>66</v>
      </c>
      <c r="O11" s="79" t="s">
        <v>52</v>
      </c>
      <c r="P11" s="79" t="s">
        <v>66</v>
      </c>
      <c r="Q11" s="79" t="s">
        <v>66</v>
      </c>
      <c r="R11" s="79" t="s">
        <v>66</v>
      </c>
      <c r="S11" s="79" t="s">
        <v>66</v>
      </c>
      <c r="T11" s="79" t="s">
        <v>66</v>
      </c>
      <c r="U11" s="79" t="s">
        <v>66</v>
      </c>
      <c r="V11" s="79" t="s">
        <v>52</v>
      </c>
      <c r="W11" s="79" t="s">
        <v>66</v>
      </c>
      <c r="X11" s="79" t="s">
        <v>66</v>
      </c>
      <c r="Y11" s="79" t="s">
        <v>66</v>
      </c>
      <c r="Z11" s="79" t="s">
        <v>66</v>
      </c>
      <c r="AA11" s="79" t="s">
        <v>66</v>
      </c>
      <c r="AB11" s="79" t="s">
        <v>66</v>
      </c>
      <c r="AC11" s="91" t="s">
        <v>66</v>
      </c>
      <c r="AD11" s="79" t="s">
        <v>66</v>
      </c>
      <c r="AE11" s="79" t="s">
        <v>66</v>
      </c>
      <c r="AF11" s="79" t="s">
        <v>66</v>
      </c>
      <c r="AG11" s="51" t="s">
        <v>143</v>
      </c>
      <c r="AH11" s="57"/>
      <c r="AI11" s="58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23"/>
      <c r="BB11" s="23"/>
      <c r="BC11" s="59"/>
      <c r="BD11" s="59"/>
      <c r="BE11" s="59"/>
      <c r="BF11" s="60"/>
    </row>
    <row r="12" ht="50" customHeight="1" spans="1:58">
      <c r="A12" s="50"/>
      <c r="B12" s="50"/>
      <c r="C12" s="39" t="s">
        <v>70</v>
      </c>
      <c r="D12" s="79" t="s">
        <v>71</v>
      </c>
      <c r="E12" s="79" t="s">
        <v>72</v>
      </c>
      <c r="F12" s="79" t="s">
        <v>103</v>
      </c>
      <c r="G12" s="81"/>
      <c r="H12" s="82"/>
      <c r="I12" s="83"/>
      <c r="J12" s="79" t="s">
        <v>144</v>
      </c>
      <c r="K12" s="79" t="s">
        <v>52</v>
      </c>
      <c r="L12" s="92"/>
      <c r="M12" s="79" t="s">
        <v>71</v>
      </c>
      <c r="N12" s="79" t="s">
        <v>135</v>
      </c>
      <c r="O12" s="79" t="s">
        <v>52</v>
      </c>
      <c r="P12" s="79" t="s">
        <v>121</v>
      </c>
      <c r="Q12" s="79" t="s">
        <v>74</v>
      </c>
      <c r="R12" s="79" t="s">
        <v>145</v>
      </c>
      <c r="S12" s="79" t="s">
        <v>74</v>
      </c>
      <c r="T12" s="79" t="s">
        <v>74</v>
      </c>
      <c r="U12" s="79" t="s">
        <v>146</v>
      </c>
      <c r="V12" s="79" t="s">
        <v>52</v>
      </c>
      <c r="W12" s="79" t="s">
        <v>74</v>
      </c>
      <c r="X12" s="79" t="s">
        <v>73</v>
      </c>
      <c r="Y12" s="79" t="s">
        <v>73</v>
      </c>
      <c r="Z12" s="79" t="s">
        <v>72</v>
      </c>
      <c r="AA12" s="79" t="s">
        <v>147</v>
      </c>
      <c r="AB12" s="79" t="s">
        <v>148</v>
      </c>
      <c r="AC12" s="91" t="s">
        <v>52</v>
      </c>
      <c r="AD12" s="79" t="s">
        <v>149</v>
      </c>
      <c r="AE12" s="79" t="s">
        <v>149</v>
      </c>
      <c r="AF12" s="79" t="s">
        <v>72</v>
      </c>
      <c r="AG12" s="79" t="s">
        <v>150</v>
      </c>
      <c r="AH12" s="57"/>
      <c r="AI12" s="58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23"/>
      <c r="BB12" s="23"/>
      <c r="BC12" s="59"/>
      <c r="BD12" s="59"/>
      <c r="BE12" s="59"/>
      <c r="BF12" s="60"/>
    </row>
    <row r="13" ht="50" customHeight="1" spans="1:58">
      <c r="A13" s="50"/>
      <c r="B13" s="50"/>
      <c r="C13" s="39" t="s">
        <v>70</v>
      </c>
      <c r="D13" s="79" t="s">
        <v>66</v>
      </c>
      <c r="E13" s="79" t="s">
        <v>66</v>
      </c>
      <c r="F13" s="51" t="s">
        <v>151</v>
      </c>
      <c r="G13" s="85"/>
      <c r="H13" s="86"/>
      <c r="I13" s="87"/>
      <c r="J13" s="79" t="s">
        <v>66</v>
      </c>
      <c r="K13" s="51" t="s">
        <v>100</v>
      </c>
      <c r="L13" s="93"/>
      <c r="M13" s="79" t="s">
        <v>66</v>
      </c>
      <c r="N13" s="79" t="s">
        <v>66</v>
      </c>
      <c r="O13" s="79" t="s">
        <v>52</v>
      </c>
      <c r="P13" s="79" t="s">
        <v>66</v>
      </c>
      <c r="Q13" s="79" t="s">
        <v>66</v>
      </c>
      <c r="R13" s="79" t="s">
        <v>66</v>
      </c>
      <c r="S13" s="79" t="s">
        <v>66</v>
      </c>
      <c r="T13" s="79" t="s">
        <v>66</v>
      </c>
      <c r="U13" s="79" t="s">
        <v>66</v>
      </c>
      <c r="V13" s="79" t="s">
        <v>52</v>
      </c>
      <c r="W13" s="79" t="s">
        <v>66</v>
      </c>
      <c r="X13" s="79" t="s">
        <v>66</v>
      </c>
      <c r="Y13" s="79" t="s">
        <v>66</v>
      </c>
      <c r="Z13" s="79" t="s">
        <v>66</v>
      </c>
      <c r="AA13" s="79" t="s">
        <v>66</v>
      </c>
      <c r="AB13" s="79" t="s">
        <v>66</v>
      </c>
      <c r="AC13" s="91" t="s">
        <v>52</v>
      </c>
      <c r="AD13" s="79" t="s">
        <v>66</v>
      </c>
      <c r="AE13" s="79" t="s">
        <v>66</v>
      </c>
      <c r="AF13" s="79" t="s">
        <v>66</v>
      </c>
      <c r="AG13" s="51" t="s">
        <v>152</v>
      </c>
      <c r="AH13" s="57"/>
      <c r="AI13" s="58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23"/>
      <c r="BB13" s="23"/>
      <c r="BC13" s="59"/>
      <c r="BD13" s="59"/>
      <c r="BE13" s="59"/>
      <c r="BF13" s="60"/>
    </row>
    <row r="14" ht="55.5" spans="1:58">
      <c r="A14" s="67"/>
      <c r="B14" s="50"/>
      <c r="C14" s="68" t="s">
        <v>81</v>
      </c>
      <c r="D14" s="69"/>
      <c r="E14" s="69"/>
      <c r="F14" s="69"/>
      <c r="G14" s="69"/>
      <c r="H14" s="69"/>
      <c r="I14" s="69"/>
      <c r="J14" s="69">
        <v>15</v>
      </c>
      <c r="K14" s="69"/>
      <c r="L14" s="69"/>
      <c r="M14" s="69"/>
      <c r="N14" s="69"/>
      <c r="O14" s="69"/>
      <c r="P14" s="69"/>
      <c r="Q14" s="70"/>
      <c r="R14" s="70">
        <v>30</v>
      </c>
      <c r="S14" s="70"/>
      <c r="T14" s="70"/>
      <c r="U14" s="70"/>
      <c r="V14" s="70"/>
      <c r="W14" s="70"/>
      <c r="X14" s="70"/>
      <c r="Y14" s="70"/>
      <c r="Z14" s="70"/>
      <c r="AA14" s="70">
        <v>152</v>
      </c>
      <c r="AB14" s="70"/>
      <c r="AC14" s="70"/>
      <c r="AD14" s="70">
        <v>150</v>
      </c>
      <c r="AE14" s="70">
        <v>150</v>
      </c>
      <c r="AF14" s="70"/>
      <c r="AG14" s="70">
        <v>360</v>
      </c>
      <c r="AH14" s="71"/>
      <c r="AI14" s="72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23"/>
      <c r="BB14" s="23"/>
      <c r="BC14" s="73"/>
      <c r="BD14" s="73"/>
      <c r="BE14" s="73"/>
      <c r="BF14" s="60"/>
    </row>
    <row r="15" ht="50" customHeight="1" spans="1:58">
      <c r="A15" s="26" t="s">
        <v>82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5"/>
    </row>
    <row r="16" ht="50" customHeight="1" spans="1:58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5"/>
    </row>
    <row r="17" ht="50" customHeight="1" spans="1:58">
      <c r="A17" s="74" t="s">
        <v>83</v>
      </c>
      <c r="B17" s="74"/>
      <c r="C17" s="75"/>
      <c r="D17" s="75"/>
      <c r="E17" s="75"/>
      <c r="F17" s="75"/>
      <c r="G17" s="75"/>
      <c r="H17" s="75"/>
      <c r="I17" s="75"/>
      <c r="J17" s="75"/>
      <c r="K17" s="75" t="s">
        <v>84</v>
      </c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 t="s">
        <v>85</v>
      </c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4" t="s">
        <v>86</v>
      </c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25"/>
    </row>
  </sheetData>
  <mergeCells count="55">
    <mergeCell ref="A1:AJ1"/>
    <mergeCell ref="A6:AV6"/>
    <mergeCell ref="B7:AV7"/>
    <mergeCell ref="AH8:AI8"/>
    <mergeCell ref="AH9:AI9"/>
    <mergeCell ref="A17:J17"/>
    <mergeCell ref="K17:V17"/>
    <mergeCell ref="W17:AE17"/>
    <mergeCell ref="AH17:BE17"/>
    <mergeCell ref="A2:A3"/>
    <mergeCell ref="A7:A9"/>
    <mergeCell ref="A10:A14"/>
    <mergeCell ref="B2:B3"/>
    <mergeCell ref="B8:B9"/>
    <mergeCell ref="B10:B14"/>
    <mergeCell ref="C8:C9"/>
    <mergeCell ref="L10:L13"/>
    <mergeCell ref="AH2:AH3"/>
    <mergeCell ref="AI2:AI3"/>
    <mergeCell ref="AJ2:AJ3"/>
    <mergeCell ref="AJ10:AJ14"/>
    <mergeCell ref="AK10:AK14"/>
    <mergeCell ref="AL10:AL14"/>
    <mergeCell ref="AM2:AM3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8:AV9"/>
    <mergeCell ref="AV10:AV14"/>
    <mergeCell ref="AW8:AW9"/>
    <mergeCell ref="AW10:AW14"/>
    <mergeCell ref="AX8:AX9"/>
    <mergeCell ref="AX10:AX14"/>
    <mergeCell ref="AY8:AY9"/>
    <mergeCell ref="AY10:AY14"/>
    <mergeCell ref="AZ8:AZ9"/>
    <mergeCell ref="AZ10:AZ14"/>
    <mergeCell ref="BC8:BC9"/>
    <mergeCell ref="BC10:BC14"/>
    <mergeCell ref="BD8:BD9"/>
    <mergeCell ref="BD10:BD14"/>
    <mergeCell ref="BE8:BE9"/>
    <mergeCell ref="BE10:BE14"/>
    <mergeCell ref="BF10:BF14"/>
    <mergeCell ref="AW6:AZ7"/>
    <mergeCell ref="BC6:BE7"/>
    <mergeCell ref="AH10:AI14"/>
    <mergeCell ref="A15:BE16"/>
    <mergeCell ref="G10:I13"/>
  </mergeCells>
  <dataValidations count="1">
    <dataValidation allowBlank="1" showInputMessage="1" showErrorMessage="1" sqref="AH9 A15:AV15 A6:AV7"/>
  </dataValidations>
  <pageMargins left="0.25" right="0.25" top="0.75" bottom="0.708333333333333" header="0.298611111111111" footer="0.298611111111111"/>
  <pageSetup paperSize="9" scale="25" fitToHeight="0" orientation="landscape" horizontalDpi="6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G17"/>
  <sheetViews>
    <sheetView zoomScale="40" zoomScaleNormal="40" workbookViewId="0">
      <selection activeCell="V44" sqref="V44"/>
    </sheetView>
  </sheetViews>
  <sheetFormatPr defaultColWidth="10.625" defaultRowHeight="13.5"/>
  <cols>
    <col min="1" max="1" width="10.625" customWidth="1"/>
    <col min="2" max="2" width="15.3166666666667" customWidth="1"/>
    <col min="3" max="3" width="22.1833333333333" customWidth="1"/>
    <col min="4" max="35" width="10.625" customWidth="1"/>
    <col min="36" max="36" width="13.4333333333333" customWidth="1"/>
    <col min="37" max="37" width="17.5" customWidth="1"/>
    <col min="38" max="39" width="10.625" hidden="1" customWidth="1"/>
    <col min="40" max="40" width="25" hidden="1" customWidth="1"/>
    <col min="41" max="41" width="15.25" customWidth="1"/>
    <col min="42" max="42" width="13.75" hidden="1" customWidth="1"/>
    <col min="43" max="48" width="10.625" hidden="1" customWidth="1"/>
    <col min="49" max="49" width="40.3166666666667" customWidth="1"/>
    <col min="50" max="53" width="10.625" hidden="1" customWidth="1"/>
    <col min="54" max="55" width="23.125" hidden="1" customWidth="1"/>
    <col min="56" max="56" width="21.125" customWidth="1"/>
    <col min="57" max="57" width="29.625" customWidth="1"/>
    <col min="58" max="58" width="28.625" customWidth="1"/>
    <col min="59" max="59" width="27.625" customWidth="1"/>
    <col min="60" max="16377" width="10.625" customWidth="1"/>
  </cols>
  <sheetData>
    <row r="1" ht="40" customHeight="1" spans="1:59">
      <c r="A1" s="1" t="s">
        <v>153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2"/>
      <c r="AM1" s="3"/>
      <c r="AN1" s="4"/>
      <c r="AO1" s="3"/>
      <c r="AP1" s="3"/>
      <c r="AQ1" s="3"/>
      <c r="AR1" s="3"/>
      <c r="AS1" s="3"/>
      <c r="AT1" s="3"/>
      <c r="AU1" s="3"/>
      <c r="AV1" s="3"/>
      <c r="AW1" s="3"/>
      <c r="AX1" s="5"/>
      <c r="AY1" s="5"/>
      <c r="AZ1" s="5"/>
      <c r="BA1" s="5"/>
    </row>
    <row r="2" ht="40" customHeight="1" spans="1:59">
      <c r="A2" s="1" t="s">
        <v>1</v>
      </c>
      <c r="B2" s="1" t="s">
        <v>2</v>
      </c>
      <c r="C2" s="1" t="s">
        <v>3</v>
      </c>
      <c r="D2" s="6">
        <v>1</v>
      </c>
      <c r="E2" s="6">
        <v>2</v>
      </c>
      <c r="F2" s="6">
        <v>3</v>
      </c>
      <c r="G2" s="6">
        <v>4</v>
      </c>
      <c r="H2" s="6">
        <v>5</v>
      </c>
      <c r="I2" s="6">
        <v>6</v>
      </c>
      <c r="J2" s="6">
        <v>7</v>
      </c>
      <c r="K2" s="6">
        <v>8</v>
      </c>
      <c r="L2" s="6">
        <v>9</v>
      </c>
      <c r="M2" s="6">
        <v>10</v>
      </c>
      <c r="N2" s="6">
        <v>11</v>
      </c>
      <c r="O2" s="6">
        <v>12</v>
      </c>
      <c r="P2" s="6">
        <v>13</v>
      </c>
      <c r="Q2" s="6">
        <v>14</v>
      </c>
      <c r="R2" s="6">
        <v>15</v>
      </c>
      <c r="S2" s="6">
        <v>16</v>
      </c>
      <c r="T2" s="6">
        <v>17</v>
      </c>
      <c r="U2" s="6">
        <v>18</v>
      </c>
      <c r="V2" s="6">
        <v>19</v>
      </c>
      <c r="W2" s="6">
        <v>20</v>
      </c>
      <c r="X2" s="6">
        <v>21</v>
      </c>
      <c r="Y2" s="6">
        <v>22</v>
      </c>
      <c r="Z2" s="6">
        <v>23</v>
      </c>
      <c r="AA2" s="6">
        <v>24</v>
      </c>
      <c r="AB2" s="6">
        <v>25</v>
      </c>
      <c r="AC2" s="6">
        <v>26</v>
      </c>
      <c r="AD2" s="6">
        <v>27</v>
      </c>
      <c r="AE2" s="6">
        <v>28</v>
      </c>
      <c r="AF2" s="6">
        <v>29</v>
      </c>
      <c r="AG2" s="6">
        <v>30</v>
      </c>
      <c r="AH2" s="6">
        <v>31</v>
      </c>
      <c r="AI2" s="7" t="s">
        <v>4</v>
      </c>
      <c r="AJ2" s="8" t="s">
        <v>5</v>
      </c>
      <c r="AK2" s="9" t="s">
        <v>6</v>
      </c>
      <c r="AL2" s="10"/>
      <c r="AM2" s="3"/>
      <c r="AN2" s="11"/>
      <c r="AO2" s="3"/>
      <c r="AP2" s="12"/>
      <c r="AQ2" s="12"/>
      <c r="AR2" s="3" t="s">
        <v>7</v>
      </c>
      <c r="AS2" s="3"/>
      <c r="AT2" s="3"/>
      <c r="AU2" s="3"/>
      <c r="AV2" s="3"/>
      <c r="AW2" s="3"/>
      <c r="AX2" s="5"/>
      <c r="AY2" s="5"/>
      <c r="AZ2" s="5"/>
      <c r="BA2" s="5"/>
    </row>
    <row r="3" ht="40" customHeight="1" spans="1:59">
      <c r="A3" s="1"/>
      <c r="B3" s="1"/>
      <c r="C3" s="1" t="s">
        <v>8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9</v>
      </c>
      <c r="R3" s="1" t="s">
        <v>10</v>
      </c>
      <c r="S3" s="1" t="s">
        <v>11</v>
      </c>
      <c r="T3" s="1" t="s">
        <v>12</v>
      </c>
      <c r="U3" s="1" t="s">
        <v>13</v>
      </c>
      <c r="V3" s="1" t="s">
        <v>14</v>
      </c>
      <c r="W3" s="1" t="s">
        <v>15</v>
      </c>
      <c r="X3" s="1" t="s">
        <v>9</v>
      </c>
      <c r="Y3" s="1" t="s">
        <v>10</v>
      </c>
      <c r="Z3" s="1" t="s">
        <v>11</v>
      </c>
      <c r="AA3" s="1" t="s">
        <v>12</v>
      </c>
      <c r="AB3" s="1" t="s">
        <v>13</v>
      </c>
      <c r="AC3" s="1" t="s">
        <v>14</v>
      </c>
      <c r="AD3" s="1" t="s">
        <v>15</v>
      </c>
      <c r="AE3" s="1" t="s">
        <v>9</v>
      </c>
      <c r="AF3" s="1" t="s">
        <v>10</v>
      </c>
      <c r="AG3" s="1" t="s">
        <v>11</v>
      </c>
      <c r="AH3" s="1" t="s">
        <v>12</v>
      </c>
      <c r="AI3" s="13"/>
      <c r="AJ3" s="8"/>
      <c r="AK3" s="9"/>
      <c r="AL3" s="10"/>
      <c r="AM3" s="3"/>
      <c r="AN3" s="14"/>
      <c r="AO3" s="3"/>
      <c r="AP3" s="15"/>
      <c r="AQ3" s="15"/>
      <c r="AR3" s="3" t="s">
        <v>16</v>
      </c>
      <c r="AS3" s="3"/>
      <c r="AT3" s="3"/>
      <c r="AU3" s="3"/>
      <c r="AV3" s="3"/>
      <c r="AW3" s="3"/>
      <c r="AX3" s="5"/>
      <c r="AY3" s="5"/>
      <c r="AZ3" s="5"/>
      <c r="BA3" s="5"/>
    </row>
    <row r="4" ht="40" customHeight="1" spans="1:59">
      <c r="A4" s="1">
        <v>4</v>
      </c>
      <c r="B4" s="1"/>
      <c r="C4" s="16" t="s">
        <v>17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6"/>
      <c r="AJ4" s="6"/>
      <c r="AK4" s="4" t="s">
        <v>18</v>
      </c>
      <c r="AL4" s="18"/>
      <c r="AM4" s="19"/>
      <c r="AN4" s="4"/>
      <c r="AO4" s="3"/>
      <c r="AP4" s="20"/>
      <c r="AQ4" s="20"/>
      <c r="AR4" s="3" t="s">
        <v>19</v>
      </c>
      <c r="AS4" s="3"/>
      <c r="AT4" s="3"/>
      <c r="AU4" s="3"/>
      <c r="AV4" s="3"/>
      <c r="AW4" s="3"/>
      <c r="AX4" s="5"/>
      <c r="AY4" s="5"/>
      <c r="AZ4" s="5"/>
      <c r="BA4" s="5"/>
    </row>
    <row r="5" ht="29.25" spans="1:59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</row>
    <row r="6" ht="50" customHeight="1" spans="1:59">
      <c r="A6" s="22" t="s">
        <v>154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3"/>
      <c r="BC6" s="23"/>
      <c r="BD6" s="24"/>
      <c r="BE6" s="24"/>
      <c r="BF6" s="24"/>
      <c r="BG6" s="25"/>
    </row>
    <row r="7" ht="50" customHeight="1" spans="1:59">
      <c r="A7" s="26" t="s">
        <v>21</v>
      </c>
      <c r="B7" s="27" t="s">
        <v>22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2"/>
      <c r="AY7" s="22"/>
      <c r="AZ7" s="22"/>
      <c r="BA7" s="22"/>
      <c r="BB7" s="23"/>
      <c r="BC7" s="23"/>
      <c r="BD7" s="24"/>
      <c r="BE7" s="24"/>
      <c r="BF7" s="24"/>
      <c r="BG7" s="25"/>
    </row>
    <row r="8" ht="50" customHeight="1" spans="1:59">
      <c r="A8" s="9"/>
      <c r="B8" s="28" t="s">
        <v>23</v>
      </c>
      <c r="C8" s="29" t="s">
        <v>24</v>
      </c>
      <c r="D8" s="6">
        <v>1</v>
      </c>
      <c r="E8" s="6">
        <v>2</v>
      </c>
      <c r="F8" s="6">
        <v>3</v>
      </c>
      <c r="G8" s="6">
        <v>4</v>
      </c>
      <c r="H8" s="6">
        <v>5</v>
      </c>
      <c r="I8" s="6">
        <v>6</v>
      </c>
      <c r="J8" s="6">
        <v>7</v>
      </c>
      <c r="K8" s="6">
        <v>8</v>
      </c>
      <c r="L8" s="6">
        <v>9</v>
      </c>
      <c r="M8" s="6">
        <v>10</v>
      </c>
      <c r="N8" s="6">
        <v>11</v>
      </c>
      <c r="O8" s="6">
        <v>12</v>
      </c>
      <c r="P8" s="6">
        <v>13</v>
      </c>
      <c r="Q8" s="6">
        <v>14</v>
      </c>
      <c r="R8" s="6">
        <v>15</v>
      </c>
      <c r="S8" s="6">
        <v>16</v>
      </c>
      <c r="T8" s="6">
        <v>17</v>
      </c>
      <c r="U8" s="6">
        <v>18</v>
      </c>
      <c r="V8" s="6">
        <v>19</v>
      </c>
      <c r="W8" s="6">
        <v>20</v>
      </c>
      <c r="X8" s="6">
        <v>21</v>
      </c>
      <c r="Y8" s="6">
        <v>22</v>
      </c>
      <c r="Z8" s="6">
        <v>23</v>
      </c>
      <c r="AA8" s="6">
        <v>24</v>
      </c>
      <c r="AB8" s="6">
        <v>25</v>
      </c>
      <c r="AC8" s="6">
        <v>26</v>
      </c>
      <c r="AD8" s="6">
        <v>27</v>
      </c>
      <c r="AE8" s="6">
        <v>28</v>
      </c>
      <c r="AF8" s="6">
        <v>29</v>
      </c>
      <c r="AG8" s="6">
        <v>30</v>
      </c>
      <c r="AH8" s="6">
        <v>31</v>
      </c>
      <c r="AI8" s="30" t="s">
        <v>25</v>
      </c>
      <c r="AJ8" s="30"/>
      <c r="AK8" s="30" t="s">
        <v>26</v>
      </c>
      <c r="AL8" s="30" t="s">
        <v>27</v>
      </c>
      <c r="AM8" s="31" t="s">
        <v>28</v>
      </c>
      <c r="AN8" s="31" t="s">
        <v>6</v>
      </c>
      <c r="AO8" s="31" t="s">
        <v>29</v>
      </c>
      <c r="AP8" s="31" t="s">
        <v>30</v>
      </c>
      <c r="AQ8" s="31" t="s">
        <v>31</v>
      </c>
      <c r="AR8" s="30" t="s">
        <v>32</v>
      </c>
      <c r="AS8" s="26" t="s">
        <v>33</v>
      </c>
      <c r="AT8" s="30" t="s">
        <v>34</v>
      </c>
      <c r="AU8" s="30" t="s">
        <v>35</v>
      </c>
      <c r="AV8" s="26" t="s">
        <v>36</v>
      </c>
      <c r="AW8" s="9" t="s">
        <v>37</v>
      </c>
      <c r="AX8" s="32" t="s">
        <v>38</v>
      </c>
      <c r="AY8" s="26" t="s">
        <v>39</v>
      </c>
      <c r="AZ8" s="26" t="s">
        <v>40</v>
      </c>
      <c r="BA8" s="26" t="s">
        <v>41</v>
      </c>
      <c r="BB8" s="23"/>
      <c r="BC8" s="23"/>
      <c r="BD8" s="33" t="s">
        <v>42</v>
      </c>
      <c r="BE8" s="33" t="s">
        <v>43</v>
      </c>
      <c r="BF8" s="33" t="s">
        <v>44</v>
      </c>
      <c r="BG8" s="25"/>
    </row>
    <row r="9" ht="50" customHeight="1" spans="1:59">
      <c r="A9" s="9"/>
      <c r="B9" s="34"/>
      <c r="C9" s="35"/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  <c r="O9" s="1" t="s">
        <v>14</v>
      </c>
      <c r="P9" s="1" t="s">
        <v>15</v>
      </c>
      <c r="Q9" s="1" t="s">
        <v>9</v>
      </c>
      <c r="R9" s="1" t="s">
        <v>10</v>
      </c>
      <c r="S9" s="1" t="s">
        <v>11</v>
      </c>
      <c r="T9" s="1" t="s">
        <v>12</v>
      </c>
      <c r="U9" s="1" t="s">
        <v>13</v>
      </c>
      <c r="V9" s="1" t="s">
        <v>14</v>
      </c>
      <c r="W9" s="1" t="s">
        <v>15</v>
      </c>
      <c r="X9" s="1" t="s">
        <v>9</v>
      </c>
      <c r="Y9" s="1" t="s">
        <v>10</v>
      </c>
      <c r="Z9" s="1" t="s">
        <v>11</v>
      </c>
      <c r="AA9" s="1" t="s">
        <v>12</v>
      </c>
      <c r="AB9" s="1" t="s">
        <v>13</v>
      </c>
      <c r="AC9" s="1" t="s">
        <v>14</v>
      </c>
      <c r="AD9" s="1" t="s">
        <v>15</v>
      </c>
      <c r="AE9" s="1" t="s">
        <v>9</v>
      </c>
      <c r="AF9" s="1" t="s">
        <v>10</v>
      </c>
      <c r="AG9" s="1" t="s">
        <v>11</v>
      </c>
      <c r="AH9" s="1" t="s">
        <v>12</v>
      </c>
      <c r="AI9" s="31" t="s">
        <v>45</v>
      </c>
      <c r="AJ9" s="31"/>
      <c r="AK9" s="31" t="s">
        <v>45</v>
      </c>
      <c r="AL9" s="31" t="s">
        <v>45</v>
      </c>
      <c r="AM9" s="31" t="s">
        <v>45</v>
      </c>
      <c r="AN9" s="31" t="s">
        <v>45</v>
      </c>
      <c r="AO9" s="31" t="s">
        <v>45</v>
      </c>
      <c r="AP9" s="31" t="s">
        <v>46</v>
      </c>
      <c r="AQ9" s="31" t="s">
        <v>45</v>
      </c>
      <c r="AR9" s="31" t="s">
        <v>47</v>
      </c>
      <c r="AS9" s="9" t="s">
        <v>47</v>
      </c>
      <c r="AT9" s="31" t="s">
        <v>45</v>
      </c>
      <c r="AU9" s="31" t="s">
        <v>45</v>
      </c>
      <c r="AV9" s="31" t="s">
        <v>45</v>
      </c>
      <c r="AW9" s="9"/>
      <c r="AX9" s="36"/>
      <c r="AY9" s="9"/>
      <c r="AZ9" s="9"/>
      <c r="BA9" s="9"/>
      <c r="BB9" s="23"/>
      <c r="BC9" s="23"/>
      <c r="BD9" s="37"/>
      <c r="BE9" s="37"/>
      <c r="BF9" s="37"/>
      <c r="BG9" s="25"/>
    </row>
    <row r="10" ht="50" customHeight="1" spans="1:59">
      <c r="A10" s="38">
        <v>1</v>
      </c>
      <c r="B10" s="38" t="s">
        <v>17</v>
      </c>
      <c r="C10" s="39" t="s">
        <v>48</v>
      </c>
      <c r="D10" s="76" t="s">
        <v>155</v>
      </c>
      <c r="E10" s="77"/>
      <c r="F10" s="77"/>
      <c r="G10" s="77"/>
      <c r="H10" s="78"/>
      <c r="I10" s="79" t="s">
        <v>156</v>
      </c>
      <c r="J10" s="79" t="s">
        <v>138</v>
      </c>
      <c r="K10" s="79" t="s">
        <v>110</v>
      </c>
      <c r="L10" s="80" t="s">
        <v>29</v>
      </c>
      <c r="M10" s="79" t="s">
        <v>52</v>
      </c>
      <c r="N10" s="79" t="s">
        <v>139</v>
      </c>
      <c r="O10" s="79" t="s">
        <v>109</v>
      </c>
      <c r="P10" s="79" t="s">
        <v>109</v>
      </c>
      <c r="Q10" s="79" t="s">
        <v>139</v>
      </c>
      <c r="R10" s="79" t="s">
        <v>157</v>
      </c>
      <c r="S10" s="79" t="s">
        <v>128</v>
      </c>
      <c r="T10" s="79" t="s">
        <v>52</v>
      </c>
      <c r="U10" s="79" t="s">
        <v>158</v>
      </c>
      <c r="V10" s="79" t="s">
        <v>109</v>
      </c>
      <c r="W10" s="79" t="s">
        <v>159</v>
      </c>
      <c r="X10" s="79" t="s">
        <v>133</v>
      </c>
      <c r="Y10" s="79" t="s">
        <v>136</v>
      </c>
      <c r="Z10" s="79" t="s">
        <v>136</v>
      </c>
      <c r="AA10" s="79" t="s">
        <v>52</v>
      </c>
      <c r="AB10" s="79" t="s">
        <v>135</v>
      </c>
      <c r="AC10" s="79" t="s">
        <v>109</v>
      </c>
      <c r="AD10" s="79" t="s">
        <v>109</v>
      </c>
      <c r="AE10" s="79" t="s">
        <v>135</v>
      </c>
      <c r="AF10" s="79" t="s">
        <v>160</v>
      </c>
      <c r="AG10" s="79" t="s">
        <v>157</v>
      </c>
      <c r="AH10" s="79" t="s">
        <v>52</v>
      </c>
      <c r="AI10" s="45">
        <v>22</v>
      </c>
      <c r="AJ10" s="46"/>
      <c r="AK10" s="47" t="s">
        <v>161</v>
      </c>
      <c r="AL10" s="47"/>
      <c r="AM10" s="47"/>
      <c r="AN10" s="47"/>
      <c r="AO10" s="47" t="s">
        <v>112</v>
      </c>
      <c r="AP10" s="47"/>
      <c r="AQ10" s="47"/>
      <c r="AR10" s="47"/>
      <c r="AS10" s="47"/>
      <c r="AT10" s="47"/>
      <c r="AU10" s="47"/>
      <c r="AV10" s="47"/>
      <c r="AW10" s="48" t="s">
        <v>113</v>
      </c>
      <c r="AX10" s="47"/>
      <c r="AY10" s="47"/>
      <c r="AZ10" s="47"/>
      <c r="BA10" s="47"/>
      <c r="BB10" s="23"/>
      <c r="BC10" s="23"/>
      <c r="BD10" s="47">
        <v>341.99</v>
      </c>
      <c r="BE10" s="47">
        <f>ROUND(SUM(D14:AH14)/60,2)</f>
        <v>0.48</v>
      </c>
      <c r="BF10" s="47">
        <f>BD10-BE10</f>
        <v>341.51</v>
      </c>
      <c r="BG10" s="49" t="s">
        <v>65</v>
      </c>
    </row>
    <row r="11" ht="50" customHeight="1" spans="1:59">
      <c r="A11" s="50"/>
      <c r="B11" s="50"/>
      <c r="C11" s="39" t="s">
        <v>48</v>
      </c>
      <c r="D11" s="81"/>
      <c r="E11" s="82"/>
      <c r="F11" s="82"/>
      <c r="G11" s="82"/>
      <c r="H11" s="83"/>
      <c r="I11" s="79" t="s">
        <v>66</v>
      </c>
      <c r="J11" s="79" t="s">
        <v>66</v>
      </c>
      <c r="K11" s="79" t="s">
        <v>66</v>
      </c>
      <c r="L11" s="84"/>
      <c r="M11" s="79" t="s">
        <v>52</v>
      </c>
      <c r="N11" s="79" t="s">
        <v>66</v>
      </c>
      <c r="O11" s="79" t="s">
        <v>66</v>
      </c>
      <c r="P11" s="79" t="s">
        <v>66</v>
      </c>
      <c r="Q11" s="79" t="s">
        <v>66</v>
      </c>
      <c r="R11" s="79" t="s">
        <v>66</v>
      </c>
      <c r="S11" s="79" t="s">
        <v>66</v>
      </c>
      <c r="T11" s="79" t="s">
        <v>52</v>
      </c>
      <c r="U11" s="79" t="s">
        <v>66</v>
      </c>
      <c r="V11" s="79" t="s">
        <v>66</v>
      </c>
      <c r="W11" s="51" t="s">
        <v>162</v>
      </c>
      <c r="X11" s="79" t="s">
        <v>66</v>
      </c>
      <c r="Y11" s="79" t="s">
        <v>66</v>
      </c>
      <c r="Z11" s="79" t="s">
        <v>66</v>
      </c>
      <c r="AA11" s="79" t="s">
        <v>52</v>
      </c>
      <c r="AB11" s="79" t="s">
        <v>66</v>
      </c>
      <c r="AC11" s="79" t="s">
        <v>66</v>
      </c>
      <c r="AD11" s="79" t="s">
        <v>66</v>
      </c>
      <c r="AE11" s="79" t="s">
        <v>66</v>
      </c>
      <c r="AF11" s="79" t="s">
        <v>66</v>
      </c>
      <c r="AG11" s="79" t="s">
        <v>66</v>
      </c>
      <c r="AH11" s="79" t="s">
        <v>52</v>
      </c>
      <c r="AI11" s="57"/>
      <c r="AJ11" s="58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23"/>
      <c r="BC11" s="23"/>
      <c r="BD11" s="59"/>
      <c r="BE11" s="59"/>
      <c r="BF11" s="59"/>
      <c r="BG11" s="60"/>
    </row>
    <row r="12" ht="50" customHeight="1" spans="1:59">
      <c r="A12" s="50"/>
      <c r="B12" s="50"/>
      <c r="C12" s="39" t="s">
        <v>70</v>
      </c>
      <c r="D12" s="81"/>
      <c r="E12" s="82"/>
      <c r="F12" s="82"/>
      <c r="G12" s="82"/>
      <c r="H12" s="83"/>
      <c r="I12" s="79" t="s">
        <v>74</v>
      </c>
      <c r="J12" s="79" t="s">
        <v>71</v>
      </c>
      <c r="K12" s="79" t="s">
        <v>99</v>
      </c>
      <c r="L12" s="84"/>
      <c r="M12" s="79" t="s">
        <v>52</v>
      </c>
      <c r="N12" s="79" t="s">
        <v>77</v>
      </c>
      <c r="O12" s="79" t="s">
        <v>163</v>
      </c>
      <c r="P12" s="79" t="s">
        <v>71</v>
      </c>
      <c r="Q12" s="79" t="s">
        <v>71</v>
      </c>
      <c r="R12" s="79" t="s">
        <v>74</v>
      </c>
      <c r="S12" s="79" t="s">
        <v>164</v>
      </c>
      <c r="T12" s="79" t="s">
        <v>52</v>
      </c>
      <c r="U12" s="79" t="s">
        <v>74</v>
      </c>
      <c r="V12" s="79" t="s">
        <v>73</v>
      </c>
      <c r="W12" s="79" t="s">
        <v>72</v>
      </c>
      <c r="X12" s="79" t="s">
        <v>71</v>
      </c>
      <c r="Y12" s="79" t="s">
        <v>71</v>
      </c>
      <c r="Z12" s="79" t="s">
        <v>165</v>
      </c>
      <c r="AA12" s="79" t="s">
        <v>52</v>
      </c>
      <c r="AB12" s="79" t="s">
        <v>71</v>
      </c>
      <c r="AC12" s="79" t="s">
        <v>71</v>
      </c>
      <c r="AD12" s="79" t="s">
        <v>71</v>
      </c>
      <c r="AE12" s="79" t="s">
        <v>72</v>
      </c>
      <c r="AF12" s="79" t="s">
        <v>121</v>
      </c>
      <c r="AG12" s="79" t="s">
        <v>166</v>
      </c>
      <c r="AH12" s="79" t="s">
        <v>52</v>
      </c>
      <c r="AI12" s="57"/>
      <c r="AJ12" s="58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23"/>
      <c r="BC12" s="23"/>
      <c r="BD12" s="59"/>
      <c r="BE12" s="59"/>
      <c r="BF12" s="59"/>
      <c r="BG12" s="60"/>
    </row>
    <row r="13" ht="50" customHeight="1" spans="1:59">
      <c r="A13" s="50"/>
      <c r="B13" s="50"/>
      <c r="C13" s="39" t="s">
        <v>70</v>
      </c>
      <c r="D13" s="85"/>
      <c r="E13" s="86"/>
      <c r="F13" s="86"/>
      <c r="G13" s="86"/>
      <c r="H13" s="87"/>
      <c r="I13" s="79" t="s">
        <v>66</v>
      </c>
      <c r="J13" s="79" t="s">
        <v>66</v>
      </c>
      <c r="K13" s="79" t="s">
        <v>66</v>
      </c>
      <c r="L13" s="88"/>
      <c r="M13" s="79" t="s">
        <v>52</v>
      </c>
      <c r="N13" s="79" t="s">
        <v>66</v>
      </c>
      <c r="O13" s="79" t="s">
        <v>66</v>
      </c>
      <c r="P13" s="79" t="s">
        <v>66</v>
      </c>
      <c r="Q13" s="79" t="s">
        <v>66</v>
      </c>
      <c r="R13" s="79" t="s">
        <v>66</v>
      </c>
      <c r="S13" s="79" t="s">
        <v>66</v>
      </c>
      <c r="T13" s="79" t="s">
        <v>52</v>
      </c>
      <c r="U13" s="79" t="s">
        <v>66</v>
      </c>
      <c r="V13" s="79" t="s">
        <v>66</v>
      </c>
      <c r="W13" s="79" t="s">
        <v>66</v>
      </c>
      <c r="X13" s="79" t="s">
        <v>66</v>
      </c>
      <c r="Y13" s="79" t="s">
        <v>66</v>
      </c>
      <c r="Z13" s="79" t="s">
        <v>66</v>
      </c>
      <c r="AA13" s="79" t="s">
        <v>52</v>
      </c>
      <c r="AB13" s="79" t="s">
        <v>66</v>
      </c>
      <c r="AC13" s="79" t="s">
        <v>66</v>
      </c>
      <c r="AD13" s="79" t="s">
        <v>66</v>
      </c>
      <c r="AE13" s="79" t="s">
        <v>66</v>
      </c>
      <c r="AF13" s="79" t="s">
        <v>66</v>
      </c>
      <c r="AG13" s="79" t="s">
        <v>66</v>
      </c>
      <c r="AH13" s="79" t="s">
        <v>52</v>
      </c>
      <c r="AI13" s="57"/>
      <c r="AJ13" s="58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23"/>
      <c r="BC13" s="23"/>
      <c r="BD13" s="59"/>
      <c r="BE13" s="59"/>
      <c r="BF13" s="59"/>
      <c r="BG13" s="60"/>
    </row>
    <row r="14" ht="55.5" spans="1:59">
      <c r="A14" s="67"/>
      <c r="B14" s="50"/>
      <c r="C14" s="68" t="s">
        <v>81</v>
      </c>
      <c r="D14" s="69"/>
      <c r="E14" s="69"/>
      <c r="F14" s="69"/>
      <c r="G14" s="69"/>
      <c r="H14" s="69"/>
      <c r="I14" s="70"/>
      <c r="J14" s="70"/>
      <c r="K14" s="70">
        <v>16</v>
      </c>
      <c r="L14" s="70"/>
      <c r="M14" s="70"/>
      <c r="N14" s="70"/>
      <c r="O14" s="70">
        <v>13</v>
      </c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  <c r="AJ14" s="72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23"/>
      <c r="BC14" s="23"/>
      <c r="BD14" s="73"/>
      <c r="BE14" s="73"/>
      <c r="BF14" s="73"/>
      <c r="BG14" s="60"/>
    </row>
    <row r="15" ht="50" customHeight="1" spans="1:59">
      <c r="A15" s="26" t="s">
        <v>82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5"/>
    </row>
    <row r="16" ht="50" customHeight="1" spans="1:59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5"/>
    </row>
    <row r="17" ht="50" customHeight="1" spans="1:59">
      <c r="A17" s="74" t="s">
        <v>83</v>
      </c>
      <c r="B17" s="74"/>
      <c r="C17" s="75"/>
      <c r="D17" s="75"/>
      <c r="E17" s="75"/>
      <c r="F17" s="75"/>
      <c r="G17" s="75"/>
      <c r="H17" s="75"/>
      <c r="I17" s="75"/>
      <c r="J17" s="75"/>
      <c r="K17" s="75" t="s">
        <v>84</v>
      </c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 t="s">
        <v>85</v>
      </c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4" t="s">
        <v>86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25"/>
    </row>
  </sheetData>
  <mergeCells count="55">
    <mergeCell ref="A1:AK1"/>
    <mergeCell ref="A6:AW6"/>
    <mergeCell ref="B7:AW7"/>
    <mergeCell ref="AI8:AJ8"/>
    <mergeCell ref="AI9:AJ9"/>
    <mergeCell ref="A17:J17"/>
    <mergeCell ref="K17:V17"/>
    <mergeCell ref="W17:AE17"/>
    <mergeCell ref="AI17:BF17"/>
    <mergeCell ref="A2:A3"/>
    <mergeCell ref="A7:A9"/>
    <mergeCell ref="A10:A14"/>
    <mergeCell ref="B2:B3"/>
    <mergeCell ref="B8:B9"/>
    <mergeCell ref="B10:B14"/>
    <mergeCell ref="C8:C9"/>
    <mergeCell ref="L10:L13"/>
    <mergeCell ref="AI2:AI3"/>
    <mergeCell ref="AJ2:AJ3"/>
    <mergeCell ref="AK2:AK3"/>
    <mergeCell ref="AK10:AK14"/>
    <mergeCell ref="AL10:AL14"/>
    <mergeCell ref="AM10:AM14"/>
    <mergeCell ref="AN2:AN3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8:AW9"/>
    <mergeCell ref="AW10:AW14"/>
    <mergeCell ref="AX8:AX9"/>
    <mergeCell ref="AX10:AX14"/>
    <mergeCell ref="AY8:AY9"/>
    <mergeCell ref="AY10:AY14"/>
    <mergeCell ref="AZ8:AZ9"/>
    <mergeCell ref="AZ10:AZ14"/>
    <mergeCell ref="BA8:BA9"/>
    <mergeCell ref="BA10:BA14"/>
    <mergeCell ref="BD8:BD9"/>
    <mergeCell ref="BD10:BD14"/>
    <mergeCell ref="BE8:BE9"/>
    <mergeCell ref="BE10:BE14"/>
    <mergeCell ref="BF8:BF9"/>
    <mergeCell ref="BF10:BF14"/>
    <mergeCell ref="BG10:BG14"/>
    <mergeCell ref="AX6:BA7"/>
    <mergeCell ref="BD6:BF7"/>
    <mergeCell ref="AI10:AJ14"/>
    <mergeCell ref="A15:BF16"/>
    <mergeCell ref="D10:H13"/>
  </mergeCells>
  <dataValidations count="1">
    <dataValidation allowBlank="1" showInputMessage="1" showErrorMessage="1" sqref="AI9 A15:AW15 A6:AW7"/>
  </dataValidations>
  <pageMargins left="0.25" right="0.25" top="0.75" bottom="0.708333333333333" header="0.298611111111111" footer="0.298611111111111"/>
  <pageSetup paperSize="9" scale="26" fitToHeight="0" orientation="landscape" horizontalDpi="6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F17"/>
  <sheetViews>
    <sheetView tabSelected="1" zoomScale="40" zoomScaleNormal="40" workbookViewId="0">
      <selection activeCell="AG54" sqref="AG54"/>
    </sheetView>
  </sheetViews>
  <sheetFormatPr defaultColWidth="10.625" defaultRowHeight="13.5"/>
  <cols>
    <col min="1" max="1" width="10.625" customWidth="1"/>
    <col min="2" max="2" width="15.3166666666667" customWidth="1"/>
    <col min="3" max="3" width="22.1833333333333" customWidth="1"/>
    <col min="4" max="34" width="10.625" customWidth="1"/>
    <col min="35" max="35" width="13.4333333333333" customWidth="1"/>
    <col min="36" max="36" width="17.5" customWidth="1"/>
    <col min="37" max="38" width="10.625" hidden="1" customWidth="1"/>
    <col min="39" max="39" width="25" customWidth="1"/>
    <col min="40" max="40" width="15.25" hidden="1" customWidth="1"/>
    <col min="41" max="41" width="13.75" hidden="1" customWidth="1"/>
    <col min="42" max="47" width="10.625" hidden="1" customWidth="1"/>
    <col min="48" max="48" width="40.3166666666667" customWidth="1"/>
    <col min="49" max="52" width="10.625" hidden="1" customWidth="1"/>
    <col min="53" max="54" width="23.125" hidden="1" customWidth="1"/>
    <col min="55" max="55" width="21.125" customWidth="1"/>
    <col min="56" max="56" width="29.625" customWidth="1"/>
    <col min="57" max="57" width="28.625" customWidth="1"/>
    <col min="58" max="58" width="27.625" customWidth="1"/>
    <col min="59" max="16376" width="10.625" customWidth="1"/>
  </cols>
  <sheetData>
    <row r="1" ht="40" customHeight="1" spans="1:58">
      <c r="A1" s="1" t="s">
        <v>167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2"/>
      <c r="AL1" s="3"/>
      <c r="AM1" s="4"/>
      <c r="AN1" s="3"/>
      <c r="AO1" s="3"/>
      <c r="AP1" s="3"/>
      <c r="AQ1" s="3"/>
      <c r="AR1" s="3"/>
      <c r="AS1" s="3"/>
      <c r="AT1" s="3"/>
      <c r="AU1" s="3"/>
      <c r="AV1" s="3"/>
      <c r="AW1" s="5"/>
      <c r="AX1" s="5"/>
      <c r="AY1" s="5"/>
      <c r="AZ1" s="5"/>
    </row>
    <row r="2" ht="40" customHeight="1" spans="1:58">
      <c r="A2" s="1" t="s">
        <v>1</v>
      </c>
      <c r="B2" s="1" t="s">
        <v>2</v>
      </c>
      <c r="C2" s="1" t="s">
        <v>3</v>
      </c>
      <c r="D2" s="6">
        <v>1</v>
      </c>
      <c r="E2" s="6">
        <v>2</v>
      </c>
      <c r="F2" s="6">
        <v>3</v>
      </c>
      <c r="G2" s="6">
        <v>4</v>
      </c>
      <c r="H2" s="6">
        <v>5</v>
      </c>
      <c r="I2" s="6">
        <v>6</v>
      </c>
      <c r="J2" s="6">
        <v>7</v>
      </c>
      <c r="K2" s="6">
        <v>8</v>
      </c>
      <c r="L2" s="6">
        <v>9</v>
      </c>
      <c r="M2" s="6">
        <v>10</v>
      </c>
      <c r="N2" s="6">
        <v>11</v>
      </c>
      <c r="O2" s="6">
        <v>12</v>
      </c>
      <c r="P2" s="6">
        <v>13</v>
      </c>
      <c r="Q2" s="6">
        <v>14</v>
      </c>
      <c r="R2" s="6">
        <v>15</v>
      </c>
      <c r="S2" s="6">
        <v>16</v>
      </c>
      <c r="T2" s="6">
        <v>17</v>
      </c>
      <c r="U2" s="6">
        <v>18</v>
      </c>
      <c r="V2" s="6">
        <v>19</v>
      </c>
      <c r="W2" s="6">
        <v>20</v>
      </c>
      <c r="X2" s="6">
        <v>21</v>
      </c>
      <c r="Y2" s="6">
        <v>22</v>
      </c>
      <c r="Z2" s="6">
        <v>23</v>
      </c>
      <c r="AA2" s="6">
        <v>24</v>
      </c>
      <c r="AB2" s="6">
        <v>25</v>
      </c>
      <c r="AC2" s="6">
        <v>26</v>
      </c>
      <c r="AD2" s="6">
        <v>27</v>
      </c>
      <c r="AE2" s="6">
        <v>28</v>
      </c>
      <c r="AF2" s="6">
        <v>29</v>
      </c>
      <c r="AG2" s="6">
        <v>30</v>
      </c>
      <c r="AH2" s="7" t="s">
        <v>4</v>
      </c>
      <c r="AI2" s="8" t="s">
        <v>5</v>
      </c>
      <c r="AJ2" s="9" t="s">
        <v>6</v>
      </c>
      <c r="AK2" s="10"/>
      <c r="AL2" s="3"/>
      <c r="AM2" s="11"/>
      <c r="AN2" s="3"/>
      <c r="AO2" s="12"/>
      <c r="AP2" s="12"/>
      <c r="AQ2" s="3" t="s">
        <v>7</v>
      </c>
      <c r="AR2" s="3"/>
      <c r="AS2" s="3"/>
      <c r="AT2" s="3"/>
      <c r="AU2" s="3"/>
      <c r="AV2" s="3"/>
      <c r="AW2" s="5"/>
      <c r="AX2" s="5"/>
      <c r="AY2" s="5"/>
      <c r="AZ2" s="5"/>
    </row>
    <row r="3" ht="40" customHeight="1" spans="1:58">
      <c r="A3" s="1"/>
      <c r="B3" s="1"/>
      <c r="C3" s="1" t="s">
        <v>8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9</v>
      </c>
      <c r="O3" s="1" t="s">
        <v>10</v>
      </c>
      <c r="P3" s="1" t="s">
        <v>11</v>
      </c>
      <c r="Q3" s="1" t="s">
        <v>12</v>
      </c>
      <c r="R3" s="1" t="s">
        <v>13</v>
      </c>
      <c r="S3" s="1" t="s">
        <v>14</v>
      </c>
      <c r="T3" s="1" t="s">
        <v>15</v>
      </c>
      <c r="U3" s="1" t="s">
        <v>9</v>
      </c>
      <c r="V3" s="1" t="s">
        <v>10</v>
      </c>
      <c r="W3" s="1" t="s">
        <v>11</v>
      </c>
      <c r="X3" s="1" t="s">
        <v>12</v>
      </c>
      <c r="Y3" s="1" t="s">
        <v>13</v>
      </c>
      <c r="Z3" s="1" t="s">
        <v>14</v>
      </c>
      <c r="AA3" s="1" t="s">
        <v>15</v>
      </c>
      <c r="AB3" s="1" t="s">
        <v>9</v>
      </c>
      <c r="AC3" s="1" t="s">
        <v>10</v>
      </c>
      <c r="AD3" s="1" t="s">
        <v>11</v>
      </c>
      <c r="AE3" s="1" t="s">
        <v>12</v>
      </c>
      <c r="AF3" s="1" t="s">
        <v>13</v>
      </c>
      <c r="AG3" s="1" t="s">
        <v>14</v>
      </c>
      <c r="AH3" s="13"/>
      <c r="AI3" s="8"/>
      <c r="AJ3" s="9"/>
      <c r="AK3" s="10"/>
      <c r="AL3" s="3"/>
      <c r="AM3" s="14"/>
      <c r="AN3" s="3"/>
      <c r="AO3" s="15"/>
      <c r="AP3" s="15"/>
      <c r="AQ3" s="3" t="s">
        <v>16</v>
      </c>
      <c r="AR3" s="3"/>
      <c r="AS3" s="3"/>
      <c r="AT3" s="3"/>
      <c r="AU3" s="3"/>
      <c r="AV3" s="3"/>
      <c r="AW3" s="5"/>
      <c r="AX3" s="5"/>
      <c r="AY3" s="5"/>
      <c r="AZ3" s="5"/>
    </row>
    <row r="4" ht="40" customHeight="1" spans="1:58">
      <c r="A4" s="1">
        <v>4</v>
      </c>
      <c r="B4" s="1"/>
      <c r="C4" s="16" t="s">
        <v>17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6"/>
      <c r="AI4" s="6"/>
      <c r="AJ4" s="4" t="s">
        <v>18</v>
      </c>
      <c r="AK4" s="18"/>
      <c r="AL4" s="19"/>
      <c r="AM4" s="4"/>
      <c r="AN4" s="3"/>
      <c r="AO4" s="20"/>
      <c r="AP4" s="20"/>
      <c r="AQ4" s="3" t="s">
        <v>19</v>
      </c>
      <c r="AR4" s="3"/>
      <c r="AS4" s="3"/>
      <c r="AT4" s="3"/>
      <c r="AU4" s="3"/>
      <c r="AV4" s="3"/>
      <c r="AW4" s="5"/>
      <c r="AX4" s="5"/>
      <c r="AY4" s="5"/>
      <c r="AZ4" s="5"/>
    </row>
    <row r="5" ht="29.25" spans="1:58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</row>
    <row r="6" ht="50" customHeight="1" spans="1:58">
      <c r="A6" s="22" t="s">
        <v>168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3"/>
      <c r="BB6" s="23"/>
      <c r="BC6" s="24"/>
      <c r="BD6" s="24"/>
      <c r="BE6" s="24"/>
      <c r="BF6" s="25"/>
    </row>
    <row r="7" ht="50" customHeight="1" spans="1:58">
      <c r="A7" s="26" t="s">
        <v>21</v>
      </c>
      <c r="B7" s="27" t="s">
        <v>22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2"/>
      <c r="AX7" s="22"/>
      <c r="AY7" s="22"/>
      <c r="AZ7" s="22"/>
      <c r="BA7" s="23"/>
      <c r="BB7" s="23"/>
      <c r="BC7" s="24"/>
      <c r="BD7" s="24"/>
      <c r="BE7" s="24"/>
      <c r="BF7" s="25"/>
    </row>
    <row r="8" ht="50" customHeight="1" spans="1:58">
      <c r="A8" s="9"/>
      <c r="B8" s="28" t="s">
        <v>23</v>
      </c>
      <c r="C8" s="29" t="s">
        <v>24</v>
      </c>
      <c r="D8" s="6">
        <v>1</v>
      </c>
      <c r="E8" s="6">
        <v>2</v>
      </c>
      <c r="F8" s="6">
        <v>3</v>
      </c>
      <c r="G8" s="6">
        <v>4</v>
      </c>
      <c r="H8" s="6">
        <v>5</v>
      </c>
      <c r="I8" s="6">
        <v>6</v>
      </c>
      <c r="J8" s="6">
        <v>7</v>
      </c>
      <c r="K8" s="6">
        <v>8</v>
      </c>
      <c r="L8" s="6">
        <v>9</v>
      </c>
      <c r="M8" s="6">
        <v>10</v>
      </c>
      <c r="N8" s="6">
        <v>11</v>
      </c>
      <c r="O8" s="6">
        <v>12</v>
      </c>
      <c r="P8" s="6">
        <v>13</v>
      </c>
      <c r="Q8" s="6">
        <v>14</v>
      </c>
      <c r="R8" s="6">
        <v>15</v>
      </c>
      <c r="S8" s="6">
        <v>16</v>
      </c>
      <c r="T8" s="6">
        <v>17</v>
      </c>
      <c r="U8" s="6">
        <v>18</v>
      </c>
      <c r="V8" s="6">
        <v>19</v>
      </c>
      <c r="W8" s="6">
        <v>20</v>
      </c>
      <c r="X8" s="6">
        <v>21</v>
      </c>
      <c r="Y8" s="6">
        <v>22</v>
      </c>
      <c r="Z8" s="6">
        <v>23</v>
      </c>
      <c r="AA8" s="6">
        <v>24</v>
      </c>
      <c r="AB8" s="6">
        <v>25</v>
      </c>
      <c r="AC8" s="6">
        <v>26</v>
      </c>
      <c r="AD8" s="6">
        <v>27</v>
      </c>
      <c r="AE8" s="6">
        <v>28</v>
      </c>
      <c r="AF8" s="6">
        <v>29</v>
      </c>
      <c r="AG8" s="6">
        <v>30</v>
      </c>
      <c r="AH8" s="30" t="s">
        <v>25</v>
      </c>
      <c r="AI8" s="30"/>
      <c r="AJ8" s="30" t="s">
        <v>26</v>
      </c>
      <c r="AK8" s="30" t="s">
        <v>27</v>
      </c>
      <c r="AL8" s="31" t="s">
        <v>28</v>
      </c>
      <c r="AM8" s="31" t="s">
        <v>6</v>
      </c>
      <c r="AN8" s="31" t="s">
        <v>29</v>
      </c>
      <c r="AO8" s="31" t="s">
        <v>30</v>
      </c>
      <c r="AP8" s="31" t="s">
        <v>31</v>
      </c>
      <c r="AQ8" s="30" t="s">
        <v>32</v>
      </c>
      <c r="AR8" s="26" t="s">
        <v>33</v>
      </c>
      <c r="AS8" s="30" t="s">
        <v>34</v>
      </c>
      <c r="AT8" s="30" t="s">
        <v>35</v>
      </c>
      <c r="AU8" s="26" t="s">
        <v>36</v>
      </c>
      <c r="AV8" s="9" t="s">
        <v>37</v>
      </c>
      <c r="AW8" s="32" t="s">
        <v>38</v>
      </c>
      <c r="AX8" s="26" t="s">
        <v>39</v>
      </c>
      <c r="AY8" s="26" t="s">
        <v>40</v>
      </c>
      <c r="AZ8" s="26" t="s">
        <v>41</v>
      </c>
      <c r="BA8" s="23"/>
      <c r="BB8" s="23"/>
      <c r="BC8" s="33" t="s">
        <v>42</v>
      </c>
      <c r="BD8" s="33" t="s">
        <v>43</v>
      </c>
      <c r="BE8" s="33" t="s">
        <v>44</v>
      </c>
      <c r="BF8" s="25"/>
    </row>
    <row r="9" ht="50" customHeight="1" spans="1:58">
      <c r="A9" s="9"/>
      <c r="B9" s="34"/>
      <c r="C9" s="35"/>
      <c r="D9" s="1" t="s">
        <v>13</v>
      </c>
      <c r="E9" s="1" t="s">
        <v>14</v>
      </c>
      <c r="F9" s="1" t="s">
        <v>15</v>
      </c>
      <c r="G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9</v>
      </c>
      <c r="O9" s="1" t="s">
        <v>10</v>
      </c>
      <c r="P9" s="1" t="s">
        <v>11</v>
      </c>
      <c r="Q9" s="1" t="s">
        <v>12</v>
      </c>
      <c r="R9" s="1" t="s">
        <v>13</v>
      </c>
      <c r="S9" s="1" t="s">
        <v>14</v>
      </c>
      <c r="T9" s="1" t="s">
        <v>15</v>
      </c>
      <c r="U9" s="1" t="s">
        <v>9</v>
      </c>
      <c r="V9" s="1" t="s">
        <v>10</v>
      </c>
      <c r="W9" s="1" t="s">
        <v>11</v>
      </c>
      <c r="X9" s="1" t="s">
        <v>12</v>
      </c>
      <c r="Y9" s="1" t="s">
        <v>13</v>
      </c>
      <c r="Z9" s="1" t="s">
        <v>14</v>
      </c>
      <c r="AA9" s="1" t="s">
        <v>15</v>
      </c>
      <c r="AB9" s="1" t="s">
        <v>9</v>
      </c>
      <c r="AC9" s="1" t="s">
        <v>10</v>
      </c>
      <c r="AD9" s="1" t="s">
        <v>11</v>
      </c>
      <c r="AE9" s="1" t="s">
        <v>12</v>
      </c>
      <c r="AF9" s="1" t="s">
        <v>13</v>
      </c>
      <c r="AG9" s="1" t="s">
        <v>14</v>
      </c>
      <c r="AH9" s="31" t="s">
        <v>45</v>
      </c>
      <c r="AI9" s="31"/>
      <c r="AJ9" s="31" t="s">
        <v>45</v>
      </c>
      <c r="AK9" s="31" t="s">
        <v>45</v>
      </c>
      <c r="AL9" s="31" t="s">
        <v>45</v>
      </c>
      <c r="AM9" s="31" t="s">
        <v>45</v>
      </c>
      <c r="AN9" s="31" t="s">
        <v>45</v>
      </c>
      <c r="AO9" s="31" t="s">
        <v>46</v>
      </c>
      <c r="AP9" s="31" t="s">
        <v>45</v>
      </c>
      <c r="AQ9" s="31" t="s">
        <v>47</v>
      </c>
      <c r="AR9" s="9" t="s">
        <v>47</v>
      </c>
      <c r="AS9" s="31" t="s">
        <v>45</v>
      </c>
      <c r="AT9" s="31" t="s">
        <v>45</v>
      </c>
      <c r="AU9" s="31" t="s">
        <v>45</v>
      </c>
      <c r="AV9" s="9"/>
      <c r="AW9" s="36"/>
      <c r="AX9" s="9"/>
      <c r="AY9" s="9"/>
      <c r="AZ9" s="9"/>
      <c r="BA9" s="23"/>
      <c r="BB9" s="23"/>
      <c r="BC9" s="37"/>
      <c r="BD9" s="37"/>
      <c r="BE9" s="37"/>
      <c r="BF9" s="25"/>
    </row>
    <row r="10" ht="50" customHeight="1" spans="1:58">
      <c r="A10" s="38">
        <v>1</v>
      </c>
      <c r="B10" s="38" t="s">
        <v>17</v>
      </c>
      <c r="C10" s="39" t="s">
        <v>48</v>
      </c>
      <c r="D10" s="40" t="s">
        <v>134</v>
      </c>
      <c r="E10" s="40" t="s">
        <v>160</v>
      </c>
      <c r="F10" s="40" t="s">
        <v>169</v>
      </c>
      <c r="G10" s="40" t="s">
        <v>110</v>
      </c>
      <c r="H10" s="40" t="s">
        <v>135</v>
      </c>
      <c r="I10" s="40" t="s">
        <v>52</v>
      </c>
      <c r="J10" s="40" t="s">
        <v>52</v>
      </c>
      <c r="K10" s="40" t="s">
        <v>170</v>
      </c>
      <c r="L10" s="40" t="s">
        <v>171</v>
      </c>
      <c r="M10" s="40" t="s">
        <v>172</v>
      </c>
      <c r="N10" s="40" t="s">
        <v>130</v>
      </c>
      <c r="O10" s="40" t="s">
        <v>132</v>
      </c>
      <c r="P10" s="40" t="s">
        <v>110</v>
      </c>
      <c r="Q10" s="40" t="s">
        <v>52</v>
      </c>
      <c r="R10" s="40" t="s">
        <v>136</v>
      </c>
      <c r="S10" s="40" t="s">
        <v>132</v>
      </c>
      <c r="T10" s="40" t="s">
        <v>126</v>
      </c>
      <c r="U10" s="40" t="s">
        <v>130</v>
      </c>
      <c r="V10" s="41" t="s">
        <v>173</v>
      </c>
      <c r="W10" s="42"/>
      <c r="X10" s="43"/>
      <c r="Y10" s="40" t="s">
        <v>136</v>
      </c>
      <c r="Z10" s="40" t="s">
        <v>110</v>
      </c>
      <c r="AA10" s="40" t="s">
        <v>135</v>
      </c>
      <c r="AB10" s="40" t="s">
        <v>174</v>
      </c>
      <c r="AC10" s="40" t="s">
        <v>134</v>
      </c>
      <c r="AD10" s="44" t="s">
        <v>6</v>
      </c>
      <c r="AE10" s="40" t="s">
        <v>52</v>
      </c>
      <c r="AF10" s="40" t="s">
        <v>157</v>
      </c>
      <c r="AG10" s="40" t="s">
        <v>136</v>
      </c>
      <c r="AH10" s="45">
        <v>23</v>
      </c>
      <c r="AI10" s="46"/>
      <c r="AJ10" s="47" t="s">
        <v>175</v>
      </c>
      <c r="AK10" s="47"/>
      <c r="AL10" s="47"/>
      <c r="AM10" s="48" t="s">
        <v>176</v>
      </c>
      <c r="AN10" s="47"/>
      <c r="AO10" s="47"/>
      <c r="AP10" s="47"/>
      <c r="AQ10" s="47"/>
      <c r="AR10" s="47"/>
      <c r="AS10" s="47"/>
      <c r="AT10" s="47"/>
      <c r="AU10" s="47"/>
      <c r="AV10" s="48" t="s">
        <v>177</v>
      </c>
      <c r="AW10" s="47"/>
      <c r="AX10" s="47"/>
      <c r="AY10" s="47"/>
      <c r="AZ10" s="47"/>
      <c r="BA10" s="23"/>
      <c r="BB10" s="23"/>
      <c r="BC10" s="47">
        <v>341.51</v>
      </c>
      <c r="BD10" s="47">
        <f>ROUND(SUM(D14:AG14)/60,2)</f>
        <v>6.72</v>
      </c>
      <c r="BE10" s="47">
        <f>BC10-BD10</f>
        <v>334.79</v>
      </c>
      <c r="BF10" s="49" t="s">
        <v>65</v>
      </c>
    </row>
    <row r="11" ht="50" customHeight="1" spans="1:58">
      <c r="A11" s="50"/>
      <c r="B11" s="50"/>
      <c r="C11" s="39" t="s">
        <v>48</v>
      </c>
      <c r="D11" s="40" t="s">
        <v>66</v>
      </c>
      <c r="E11" s="40" t="s">
        <v>66</v>
      </c>
      <c r="F11" s="51" t="s">
        <v>178</v>
      </c>
      <c r="G11" s="40" t="s">
        <v>66</v>
      </c>
      <c r="H11" s="40" t="s">
        <v>66</v>
      </c>
      <c r="I11" s="40" t="s">
        <v>52</v>
      </c>
      <c r="J11" s="52" t="s">
        <v>52</v>
      </c>
      <c r="K11" s="40" t="s">
        <v>66</v>
      </c>
      <c r="L11" s="40" t="s">
        <v>66</v>
      </c>
      <c r="M11" s="40" t="s">
        <v>66</v>
      </c>
      <c r="N11" s="40" t="s">
        <v>66</v>
      </c>
      <c r="O11" s="52" t="s">
        <v>66</v>
      </c>
      <c r="P11" s="52" t="s">
        <v>66</v>
      </c>
      <c r="Q11" s="40" t="s">
        <v>52</v>
      </c>
      <c r="R11" s="40" t="s">
        <v>66</v>
      </c>
      <c r="S11" s="40" t="s">
        <v>66</v>
      </c>
      <c r="T11" s="52" t="s">
        <v>66</v>
      </c>
      <c r="U11" s="40" t="s">
        <v>66</v>
      </c>
      <c r="V11" s="53"/>
      <c r="W11" s="54"/>
      <c r="X11" s="55"/>
      <c r="Y11" s="40" t="s">
        <v>66</v>
      </c>
      <c r="Z11" s="40" t="s">
        <v>66</v>
      </c>
      <c r="AA11" s="40" t="s">
        <v>66</v>
      </c>
      <c r="AB11" s="51" t="s">
        <v>179</v>
      </c>
      <c r="AC11" s="40" t="s">
        <v>66</v>
      </c>
      <c r="AD11" s="56"/>
      <c r="AE11" s="52" t="s">
        <v>52</v>
      </c>
      <c r="AF11" s="40" t="s">
        <v>66</v>
      </c>
      <c r="AG11" s="40" t="s">
        <v>66</v>
      </c>
      <c r="AH11" s="57"/>
      <c r="AI11" s="58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23"/>
      <c r="BB11" s="23"/>
      <c r="BC11" s="59"/>
      <c r="BD11" s="59"/>
      <c r="BE11" s="59"/>
      <c r="BF11" s="60"/>
    </row>
    <row r="12" ht="50" customHeight="1" spans="1:58">
      <c r="A12" s="50"/>
      <c r="B12" s="50"/>
      <c r="C12" s="39" t="s">
        <v>70</v>
      </c>
      <c r="D12" s="40" t="s">
        <v>71</v>
      </c>
      <c r="E12" s="61" t="s">
        <v>180</v>
      </c>
      <c r="F12" s="40" t="s">
        <v>149</v>
      </c>
      <c r="G12" s="40" t="s">
        <v>181</v>
      </c>
      <c r="H12" s="40" t="s">
        <v>182</v>
      </c>
      <c r="I12" s="40" t="s">
        <v>52</v>
      </c>
      <c r="J12" s="40" t="s">
        <v>52</v>
      </c>
      <c r="K12" s="40" t="s">
        <v>99</v>
      </c>
      <c r="L12" s="40" t="s">
        <v>71</v>
      </c>
      <c r="M12" s="40" t="s">
        <v>74</v>
      </c>
      <c r="N12" s="40" t="s">
        <v>74</v>
      </c>
      <c r="O12" s="40" t="s">
        <v>71</v>
      </c>
      <c r="P12" s="61" t="s">
        <v>180</v>
      </c>
      <c r="Q12" s="40" t="s">
        <v>52</v>
      </c>
      <c r="R12" s="40" t="s">
        <v>74</v>
      </c>
      <c r="S12" s="40" t="s">
        <v>71</v>
      </c>
      <c r="T12" s="40" t="s">
        <v>74</v>
      </c>
      <c r="U12" s="40" t="s">
        <v>103</v>
      </c>
      <c r="V12" s="53"/>
      <c r="W12" s="54"/>
      <c r="X12" s="55"/>
      <c r="Y12" s="40" t="s">
        <v>71</v>
      </c>
      <c r="Z12" s="40" t="s">
        <v>71</v>
      </c>
      <c r="AA12" s="40" t="s">
        <v>183</v>
      </c>
      <c r="AB12" s="40" t="s">
        <v>71</v>
      </c>
      <c r="AC12" s="40" t="s">
        <v>71</v>
      </c>
      <c r="AD12" s="56"/>
      <c r="AE12" s="40" t="s">
        <v>52</v>
      </c>
      <c r="AF12" s="40" t="s">
        <v>73</v>
      </c>
      <c r="AG12" s="40" t="s">
        <v>71</v>
      </c>
      <c r="AH12" s="57"/>
      <c r="AI12" s="58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23"/>
      <c r="BB12" s="23"/>
      <c r="BC12" s="59"/>
      <c r="BD12" s="59"/>
      <c r="BE12" s="59"/>
      <c r="BF12" s="60"/>
    </row>
    <row r="13" ht="50" customHeight="1" spans="1:58">
      <c r="A13" s="50"/>
      <c r="B13" s="50"/>
      <c r="C13" s="39" t="s">
        <v>70</v>
      </c>
      <c r="D13" s="40" t="s">
        <v>66</v>
      </c>
      <c r="E13" s="62"/>
      <c r="F13" s="40" t="s">
        <v>66</v>
      </c>
      <c r="G13" s="40" t="s">
        <v>66</v>
      </c>
      <c r="H13" s="51" t="s">
        <v>184</v>
      </c>
      <c r="I13" s="40" t="s">
        <v>52</v>
      </c>
      <c r="J13" s="40" t="s">
        <v>52</v>
      </c>
      <c r="K13" s="40" t="s">
        <v>66</v>
      </c>
      <c r="L13" s="40" t="s">
        <v>66</v>
      </c>
      <c r="M13" s="40" t="s">
        <v>66</v>
      </c>
      <c r="N13" s="40" t="s">
        <v>66</v>
      </c>
      <c r="O13" s="52" t="s">
        <v>66</v>
      </c>
      <c r="P13" s="62"/>
      <c r="Q13" s="52" t="s">
        <v>52</v>
      </c>
      <c r="R13" s="52" t="s">
        <v>66</v>
      </c>
      <c r="S13" s="40" t="s">
        <v>66</v>
      </c>
      <c r="T13" s="52" t="s">
        <v>66</v>
      </c>
      <c r="U13" s="52" t="s">
        <v>66</v>
      </c>
      <c r="V13" s="63"/>
      <c r="W13" s="64"/>
      <c r="X13" s="65"/>
      <c r="Y13" s="40" t="s">
        <v>66</v>
      </c>
      <c r="Z13" s="40" t="s">
        <v>66</v>
      </c>
      <c r="AA13" s="40" t="s">
        <v>66</v>
      </c>
      <c r="AB13" s="52" t="s">
        <v>66</v>
      </c>
      <c r="AC13" s="52" t="s">
        <v>66</v>
      </c>
      <c r="AD13" s="66"/>
      <c r="AE13" s="52" t="s">
        <v>52</v>
      </c>
      <c r="AF13" s="40" t="s">
        <v>66</v>
      </c>
      <c r="AG13" s="40" t="s">
        <v>66</v>
      </c>
      <c r="AH13" s="57"/>
      <c r="AI13" s="58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23"/>
      <c r="BB13" s="23"/>
      <c r="BC13" s="59"/>
      <c r="BD13" s="59"/>
      <c r="BE13" s="59"/>
      <c r="BF13" s="60"/>
    </row>
    <row r="14" ht="55.5" spans="1:58">
      <c r="A14" s="67"/>
      <c r="B14" s="50"/>
      <c r="C14" s="68" t="s">
        <v>81</v>
      </c>
      <c r="D14" s="69"/>
      <c r="E14" s="69"/>
      <c r="F14" s="70">
        <v>150</v>
      </c>
      <c r="G14" s="70">
        <v>154</v>
      </c>
      <c r="H14" s="69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>
        <v>99</v>
      </c>
      <c r="AB14" s="70"/>
      <c r="AC14" s="70"/>
      <c r="AD14" s="70"/>
      <c r="AE14" s="70"/>
      <c r="AF14" s="70"/>
      <c r="AG14" s="70"/>
      <c r="AH14" s="71"/>
      <c r="AI14" s="72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23"/>
      <c r="BB14" s="23"/>
      <c r="BC14" s="73"/>
      <c r="BD14" s="73"/>
      <c r="BE14" s="73"/>
      <c r="BF14" s="60"/>
    </row>
    <row r="15" ht="50" customHeight="1" spans="1:58">
      <c r="A15" s="26" t="s">
        <v>82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5"/>
    </row>
    <row r="16" ht="50" customHeight="1" spans="1:58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5"/>
    </row>
    <row r="17" ht="50" customHeight="1" spans="1:58">
      <c r="A17" s="74" t="s">
        <v>83</v>
      </c>
      <c r="B17" s="74"/>
      <c r="C17" s="75"/>
      <c r="D17" s="75"/>
      <c r="E17" s="75"/>
      <c r="F17" s="75"/>
      <c r="G17" s="75"/>
      <c r="H17" s="75"/>
      <c r="I17" s="75"/>
      <c r="J17" s="75"/>
      <c r="K17" s="75" t="s">
        <v>84</v>
      </c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 t="s">
        <v>85</v>
      </c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4" t="s">
        <v>86</v>
      </c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25"/>
    </row>
  </sheetData>
  <mergeCells count="57">
    <mergeCell ref="A1:AJ1"/>
    <mergeCell ref="A6:AV6"/>
    <mergeCell ref="B7:AV7"/>
    <mergeCell ref="AH8:AI8"/>
    <mergeCell ref="AH9:AI9"/>
    <mergeCell ref="A17:J17"/>
    <mergeCell ref="K17:V17"/>
    <mergeCell ref="W17:AE17"/>
    <mergeCell ref="AH17:BE17"/>
    <mergeCell ref="A2:A3"/>
    <mergeCell ref="A7:A9"/>
    <mergeCell ref="A10:A14"/>
    <mergeCell ref="B2:B3"/>
    <mergeCell ref="B8:B9"/>
    <mergeCell ref="B10:B14"/>
    <mergeCell ref="C8:C9"/>
    <mergeCell ref="E12:E13"/>
    <mergeCell ref="P12:P13"/>
    <mergeCell ref="AD10:AD13"/>
    <mergeCell ref="AH2:AH3"/>
    <mergeCell ref="AI2:AI3"/>
    <mergeCell ref="AJ2:AJ3"/>
    <mergeCell ref="AJ10:AJ14"/>
    <mergeCell ref="AK10:AK14"/>
    <mergeCell ref="AL10:AL14"/>
    <mergeCell ref="AM2:AM3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8:AV9"/>
    <mergeCell ref="AV10:AV14"/>
    <mergeCell ref="AW8:AW9"/>
    <mergeCell ref="AW10:AW14"/>
    <mergeCell ref="AX8:AX9"/>
    <mergeCell ref="AX10:AX14"/>
    <mergeCell ref="AY8:AY9"/>
    <mergeCell ref="AY10:AY14"/>
    <mergeCell ref="AZ8:AZ9"/>
    <mergeCell ref="AZ10:AZ14"/>
    <mergeCell ref="BC8:BC9"/>
    <mergeCell ref="BC10:BC14"/>
    <mergeCell ref="BD8:BD9"/>
    <mergeCell ref="BD10:BD14"/>
    <mergeCell ref="BE8:BE9"/>
    <mergeCell ref="BE10:BE14"/>
    <mergeCell ref="BF10:BF14"/>
    <mergeCell ref="AW6:AZ7"/>
    <mergeCell ref="BC6:BE7"/>
    <mergeCell ref="AH10:AI14"/>
    <mergeCell ref="A15:BE16"/>
    <mergeCell ref="V10:X13"/>
  </mergeCells>
  <dataValidations count="1">
    <dataValidation allowBlank="1" showInputMessage="1" showErrorMessage="1" sqref="AH9 A15:AG15 AH15:AV15 A6:AG7 AH6:AV7"/>
  </dataValidations>
  <pageMargins left="0.25" right="0.25" top="0.75" bottom="0.708333333333333" header="0.298611111111111" footer="0.298611111111111"/>
  <pageSetup paperSize="9" scale="26" fitToHeight="0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2026.1（益雍君）</vt:lpstr>
      <vt:lpstr>2026.2（益雍君）</vt:lpstr>
      <vt:lpstr>2026.3（益雍君）</vt:lpstr>
      <vt:lpstr>2026.4（益雍君）</vt:lpstr>
      <vt:lpstr>2026.5（益雍君）</vt:lpstr>
      <vt:lpstr>2026.6（益雍君）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壹诺吉18120114778</cp:lastModifiedBy>
  <dcterms:created xsi:type="dcterms:W3CDTF">2022-03-16T02:39:00Z</dcterms:created>
  <dcterms:modified xsi:type="dcterms:W3CDTF">2026-07-01T01:58:13Z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6708165BA46B47879428772A0DF9A0C1_13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
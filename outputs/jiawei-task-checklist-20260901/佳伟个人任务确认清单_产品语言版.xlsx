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e478a6c5d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版任务清单" sheetId="1" r:id="R8522a85fb0e940a6"/>
    <x:sheet xmlns:r="http://schemas.openxmlformats.org/officeDocument/2006/relationships" name="我的任务清单" sheetId="2" r:id="R018bc0b45d90434e"/>
    <x:sheet xmlns:r="http://schemas.openxmlformats.org/officeDocument/2006/relationships" name="非我的职责边界" sheetId="3" r:id="Re46a5ed48e914add"/>
    <x:sheet xmlns:r="http://schemas.openxmlformats.org/officeDocument/2006/relationships" name="系统分工速查" sheetId="4" r:id="R33bdeb91b99b4c84"/>
    <x:sheet xmlns:r="http://schemas.openxmlformats.org/officeDocument/2006/relationships" name="验收红线" sheetId="5" r:id="Rb1da357fd720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8"/>
      <x:color rgb="FFFFFFFF"/>
      <x:name val="Carlito"/>
    </x:font>
    <x:font>
      <x:sz val="10"/>
      <x:color rgb="FF344054"/>
      <x:name val="Carlito"/>
    </x:font>
    <x:font>
      <x:b/>
      <x:sz val="11"/>
      <x:color rgb="FF2563EB"/>
      <x:name val="Carlito"/>
    </x:font>
    <x:font>
      <x:b/>
      <x:sz val="18"/>
      <x:color rgb="FF2563EB"/>
      <x:name val="Carlito"/>
    </x:font>
    <x:font>
      <x:b/>
      <x:sz val="11"/>
      <x:color rgb="FF15803D"/>
      <x:name val="Carlito"/>
    </x:font>
    <x:font>
      <x:b/>
      <x:sz val="18"/>
      <x:color rgb="FF15803D"/>
      <x:name val="Carlito"/>
    </x:font>
    <x:font>
      <x:b/>
      <x:sz val="11"/>
      <x:color rgb="FFB91C1C"/>
      <x:name val="Carlito"/>
    </x:font>
    <x:font>
      <x:b/>
      <x:sz val="18"/>
      <x:color rgb="FFB91C1C"/>
      <x:name val="Carlito"/>
    </x:font>
    <x:font>
      <x:b/>
      <x:sz val="11"/>
      <x:color rgb="FFB45309"/>
      <x:name val="Carlito"/>
    </x:font>
    <x:font>
      <x:b/>
      <x:sz val="18"/>
      <x:color rgb="FFB45309"/>
      <x:name val="Carlito"/>
    </x:font>
    <x:font>
      <x:b/>
      <x:sz val="11"/>
      <x:color rgb="FF0F766E"/>
      <x:name val="Carlito"/>
    </x:font>
    <x:font>
      <x:b/>
      <x:sz val="18"/>
      <x:color rgb="FF0F766E"/>
      <x:name val="Carlito"/>
    </x:font>
    <x:font>
      <x:b/>
      <x:sz val="11"/>
      <x:color rgb="FF16324F"/>
      <x:name val="Carlito"/>
    </x:font>
    <x:font>
      <x:b/>
      <x:sz val="18"/>
      <x:color rgb="FF16324F"/>
      <x:name val="Carlito"/>
    </x:font>
    <x:font>
      <x:sz val="10"/>
      <x:color rgb="FF172033"/>
      <x:name val="Carlito"/>
    </x:font>
    <x:font>
      <x:b/>
      <x:sz val="10"/>
      <x:color rgb="FFFFFFFF"/>
      <x:name val="Carlito"/>
    </x:font>
    <x:font>
      <x:b/>
      <x:sz val="10"/>
      <x:color rgb="FFB91C1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B91C1C"/>
      </x:patternFill>
    </x:fill>
    <x:fill>
      <x:patternFill patternType="solid">
        <x:fgColor rgb="FF0F766E"/>
      </x:patternFill>
    </x:fill>
    <x:fill>
      <x:patternFill patternType="solid">
        <x:fgColor rgb="FFFEE2E2"/>
      </x:patternFill>
    </x:fill>
  </x:fills>
  <x:borders count="4">
    <x:border/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2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5" borderId="2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8" fillId="5" borderId="2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2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9" fillId="4" borderId="2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9" fillId="4" borderId="2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2" xfId="0" applyNumberFormat="1" applyFont="1" applyFill="1" applyBorder="1"/>
    <x:xf numFmtId="0" fontId="10" fillId="5" borderId="1" xfId="0" applyNumberFormat="1" applyFont="1" applyFill="1" applyBorder="1" applyAlignment="1">
      <x:alignment horizontal="center"/>
    </x:xf>
    <x:xf numFmtId="0" fontId="10" fillId="5" borderId="2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 applyAlignment="1">
      <x:alignment horizontal="center" vertical="center"/>
    </x:xf>
    <x:xf numFmtId="0" fontId="10" fillId="5" borderId="2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1" fillId="4" borderId="2" xfId="0" applyNumberFormat="1" applyFont="1" applyFill="1" applyBorder="1"/>
    <x:xf numFmtId="0" fontId="11" fillId="4" borderId="1" xfId="0" applyNumberFormat="1" applyFont="1" applyFill="1" applyBorder="1" applyAlignment="1">
      <x:alignment horizontal="center"/>
    </x:xf>
    <x:xf numFmtId="0" fontId="11" fillId="4" borderId="2" xfId="0" applyNumberFormat="1" applyFont="1" applyFill="1" applyBorder="1" applyAlignment="1">
      <x:alignment horizontal="center"/>
    </x:xf>
    <x:xf numFmtId="0" fontId="11" fillId="4" borderId="1" xfId="0" applyNumberFormat="1" applyFont="1" applyFill="1" applyBorder="1" applyAlignment="1">
      <x:alignment horizontal="center" vertical="center"/>
    </x:xf>
    <x:xf numFmtId="0" fontId="11" fillId="4" borderId="2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12" fillId="5" borderId="2" xfId="0" applyNumberFormat="1" applyFont="1" applyFill="1" applyBorder="1"/>
    <x:xf numFmtId="0" fontId="12" fillId="5" borderId="1" xfId="0" applyNumberFormat="1" applyFont="1" applyFill="1" applyBorder="1" applyAlignment="1">
      <x:alignment horizontal="center"/>
    </x:xf>
    <x:xf numFmtId="0" fontId="12" fillId="5" borderId="2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center"/>
    </x:xf>
    <x:xf numFmtId="0" fontId="12" fillId="5" borderId="2" xfId="0" applyNumberFormat="1" applyFont="1" applyFill="1" applyBorder="1" applyAlignment="1">
      <x:alignment horizontal="center" vertical="center"/>
    </x:xf>
    <x:xf numFmtId="0" fontId="13" fillId="4" borderId="0" xfId="0" applyNumberFormat="1" applyFont="1" applyFill="1" applyBorder="1"/>
    <x:xf numFmtId="0" fontId="13" fillId="4" borderId="1" xfId="0" applyNumberFormat="1" applyFont="1" applyFill="1" applyBorder="1"/>
    <x:xf numFmtId="0" fontId="13" fillId="4" borderId="3" xfId="0" applyNumberFormat="1" applyFont="1" applyFill="1" applyBorder="1"/>
    <x:xf numFmtId="0" fontId="13" fillId="4" borderId="2" xfId="0" applyNumberFormat="1" applyFont="1" applyFill="1" applyBorder="1"/>
    <x:xf numFmtId="0" fontId="13" fillId="4" borderId="1" xfId="0" applyNumberFormat="1" applyFont="1" applyFill="1" applyBorder="1" applyAlignment="1">
      <x:alignment horizontal="center"/>
    </x:xf>
    <x:xf numFmtId="0" fontId="13" fillId="4" borderId="3" xfId="0" applyNumberFormat="1" applyFont="1" applyFill="1" applyBorder="1" applyAlignment="1">
      <x:alignment horizontal="center"/>
    </x:xf>
    <x:xf numFmtId="0" fontId="13" fillId="4" borderId="2" xfId="0" applyNumberFormat="1" applyFont="1" applyFill="1" applyBorder="1" applyAlignment="1">
      <x:alignment horizontal="center"/>
    </x:xf>
    <x:xf numFmtId="0" fontId="13" fillId="4" borderId="1" xfId="0" applyNumberFormat="1" applyFont="1" applyFill="1" applyBorder="1" applyAlignment="1">
      <x:alignment horizontal="center" vertical="center"/>
    </x:xf>
    <x:xf numFmtId="0" fontId="13" fillId="4" borderId="3" xfId="0" applyNumberFormat="1" applyFont="1" applyFill="1" applyBorder="1" applyAlignment="1">
      <x:alignment horizontal="center" vertical="center"/>
    </x:xf>
    <x:xf numFmtId="0" fontId="13" fillId="4" borderId="2" xfId="0" applyNumberFormat="1" applyFont="1" applyFill="1" applyBorder="1" applyAlignment="1">
      <x:alignment horizontal="center" vertical="center"/>
    </x:xf>
    <x:xf numFmtId="0" fontId="14" fillId="5" borderId="0" xfId="0" applyNumberFormat="1" applyFont="1" applyFill="1" applyBorder="1"/>
    <x:xf numFmtId="0" fontId="14" fillId="5" borderId="1" xfId="0" applyNumberFormat="1" applyFont="1" applyFill="1" applyBorder="1"/>
    <x:xf numFmtId="0" fontId="14" fillId="5" borderId="3" xfId="0" applyNumberFormat="1" applyFont="1" applyFill="1" applyBorder="1"/>
    <x:xf numFmtId="0" fontId="14" fillId="5" borderId="2" xfId="0" applyNumberFormat="1" applyFont="1" applyFill="1" applyBorder="1"/>
    <x:xf numFmtId="0" fontId="14" fillId="5" borderId="1" xfId="0" applyNumberFormat="1" applyFont="1" applyFill="1" applyBorder="1" applyAlignment="1">
      <x:alignment horizontal="center"/>
    </x:xf>
    <x:xf numFmtId="0" fontId="14" fillId="5" borderId="3" xfId="0" applyNumberFormat="1" applyFont="1" applyFill="1" applyBorder="1" applyAlignment="1">
      <x:alignment horizontal="center"/>
    </x:xf>
    <x:xf numFmtId="0" fontId="14" fillId="5" borderId="2" xfId="0" applyNumberFormat="1" applyFont="1" applyFill="1" applyBorder="1" applyAlignment="1">
      <x:alignment horizontal="center"/>
    </x:xf>
    <x:xf numFmtId="0" fontId="14" fillId="5" borderId="1" xfId="0" applyNumberFormat="1" applyFont="1" applyFill="1" applyBorder="1" applyAlignment="1">
      <x:alignment horizontal="center" vertical="center"/>
    </x:xf>
    <x:xf numFmtId="0" fontId="14" fillId="5" borderId="3" xfId="0" applyNumberFormat="1" applyFont="1" applyFill="1" applyBorder="1" applyAlignment="1">
      <x:alignment horizontal="center" vertical="center"/>
    </x:xf>
    <x:xf numFmtId="0" fontId="14" fillId="5" borderId="2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15" fillId="2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5" fillId="2" borderId="0" xfId="0" applyNumberFormat="1" applyFont="1" applyFill="1" applyBorder="1" applyAlignment="1">
      <x:alignment vertical="center" wrapText="1"/>
    </x:xf>
    <x:xf numFmtId="0" fontId="15" fillId="8" borderId="0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ont>
        <x:i/>
        <x:color rgb="FF9CA3AF"/>
      </x:font>
      <x:fill>
        <x:patternFill patternType="solid">
          <x:bgColor rgb="FFF3F4F6"/>
        </x:patternFill>
      </x:fill>
    </x:dxf>
    <x:dxf>
      <x:font>
        <x:color rgb="FF7C4A03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i/>
        <x:color rgb="FF9CA3AF"/>
      </x:font>
      <x:fill>
        <x:patternFill patternType="solid">
          <x:bgColor rgb="FFF3F4F6"/>
        </x:patternFill>
      </x:fill>
    </x:dxf>
    <x:dxf>
      <x:font>
        <x:color rgb="FF7C4A03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18785020c4782" /><Relationship Type="http://schemas.openxmlformats.org/officeDocument/2006/relationships/theme" Target="/xl/theme/theme1.xml" Id="R37c6d20d5f404f5d" /><Relationship Type="http://schemas.openxmlformats.org/officeDocument/2006/relationships/sharedStrings" Target="/xl/sharedStrings.xml" Id="R35ba4f86409749c3" /><Relationship Type="http://schemas.openxmlformats.org/officeDocument/2006/relationships/worksheet" Target="/xl/worksheets/sheet1.xml" Id="R8522a85fb0e940a6" /><Relationship Type="http://schemas.openxmlformats.org/officeDocument/2006/relationships/worksheet" Target="/xl/worksheets/sheet2.xml" Id="R018bc0b45d90434e" /><Relationship Type="http://schemas.openxmlformats.org/officeDocument/2006/relationships/worksheet" Target="/xl/worksheets/sheet3.xml" Id="Re46a5ed48e914add" /><Relationship Type="http://schemas.openxmlformats.org/officeDocument/2006/relationships/worksheet" Target="/xl/worksheets/sheet4.xml" Id="R33bdeb91b99b4c84" /><Relationship Type="http://schemas.openxmlformats.org/officeDocument/2006/relationships/worksheet" Target="/xl/worksheets/sheet5.xml" Id="Rb1da357fd72042c4" /></Relationships>
</file>

<file path=xl/tables/table1.xml><?xml version="1.0" encoding="utf-8"?>
<x:table xmlns:x="http://schemas.openxmlformats.org/spreadsheetml/2006/main" id="1" name="ProductTasksTable" displayName="ProductTasksTable" ref="A6:O45" headerRowCount="1" totalsRowCount="0" totalsRowShown="0">
  <x:autoFilter ref="A6:O45"/>
  <x:tableColumns count="15">
    <x:tableColumn id="1" name="序号"/>
    <x:tableColumn id="2" name="归属确认"/>
    <x:tableColumn id="3" name="系统"/>
    <x:tableColumn id="4" name="产品功能"/>
    <x:tableColumn id="5" name="谁在什么场景使用"/>
    <x:tableColumn id="6" name="具体开发内容（产品语言）"/>
    <x:tableColumn id="7" name="用户怎么用 / 最终看到什么"/>
    <x:tableColumn id="8" name="异常时系统怎么处理"/>
    <x:tableColumn id="9" name="建议角色"/>
    <x:tableColumn id="10" name="优先级"/>
    <x:tableColumn id="11" name="阶段"/>
    <x:tableColumn id="12" name="协作/依赖"/>
    <x:tableColumn id="13" name="进度状态"/>
    <x:tableColumn id="14" name="对应技术模块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iaweiTasksTable" displayName="JiaweiTasksTable" ref="A6:M78" headerRowCount="1" totalsRowCount="0" totalsRowShown="0">
  <x:autoFilter ref="A6:M78"/>
  <x:tableColumns count="13">
    <x:tableColumn id="1" name="序号"/>
    <x:tableColumn id="2" name="系统归属"/>
    <x:tableColumn id="3" name="模块"/>
    <x:tableColumn id="4" name="建议角色"/>
    <x:tableColumn id="5" name="归属确认"/>
    <x:tableColumn id="6" name="优先级"/>
    <x:tableColumn id="7" name="阶段"/>
    <x:tableColumn id="8" name="任务事项"/>
    <x:tableColumn id="9" name="协作/依赖"/>
    <x:tableColumn id="10" name="交付物"/>
    <x:tableColumn id="11" name="验收口径"/>
    <x:tableColumn id="12" name="进度状态"/>
    <x:tableColumn id="1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ponsibilityBoundariesTable" displayName="ResponsibilityBoundariesTable" ref="A4:E12" headerRowCount="1" totalsRowCount="0" totalsRowShown="0">
  <x:tableColumns count="5">
    <x:tableColumn id="1" name="类别"/>
    <x:tableColumn id="2" name="不属于佳伟的决定或交付"/>
    <x:tableColumn id="3" name="责任方"/>
    <x:tableColumn id="4" name="佳伟负责什么"/>
    <x:tableColumn id="5" name="不能做什么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StatusAxesTable" displayName="StatusAxesTable" ref="A4:E7" headerRowCount="1" totalsRowCount="0" totalsRowShown="0">
  <x:tableColumns count="5">
    <x:tableColumn id="1" name="状态轴"/>
    <x:tableColumn id="2" name="状态示例"/>
    <x:tableColumn id="3" name="产生系统"/>
    <x:tableColumn id="4" name="Electron桌面端"/>
    <x:tableColumn id="5" name="当前项目PC端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SystemSplitTable" displayName="SystemSplitTable" ref="A10:D24" headerRowCount="1" totalsRowCount="0" totalsRowShown="0">
  <x:tableColumns count="4">
    <x:tableColumn id="1" name="功能"/>
    <x:tableColumn id="2" name="Electron桌面端"/>
    <x:tableColumn id="3" name="当前项目PC端"/>
    <x:tableColumn id="4" name="边界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ceptanceRedLinesTable" displayName="AcceptanceRedLinesTable" ref="A4:D15" headerRowCount="1" totalsRowCount="0" totalsRowShown="0">
  <x:tableColumns count="4">
    <x:tableColumn id="1" name="验收指标"/>
    <x:tableColumn id="2" name="目标"/>
    <x:tableColumn id="3" name="Electron桌面端责任"/>
    <x:tableColumn id="4" name="当前项目PC端责任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a5a38dd3eb48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4f95c5d3454b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f02065132e48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9fefb67c59a47ff" /><Relationship Type="http://schemas.openxmlformats.org/officeDocument/2006/relationships/table" Target="/xl/tables/table5.xml" Id="R23d213ce7adf4e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b0bd02397be643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3.75" hidden="0" customWidth="1"/>
    <x:col min="3" max="3" width="14" hidden="0" customWidth="1"/>
    <x:col min="4" max="4" width="18.75" hidden="0" customWidth="1"/>
    <x:col min="5" max="5" width="25" hidden="0" customWidth="1"/>
    <x:col min="6" max="6" width="45" hidden="0" customWidth="1"/>
    <x:col min="7" max="7" width="41.25" hidden="0" customWidth="1"/>
    <x:col min="8" max="8" width="37.5" hidden="0" customWidth="1"/>
    <x:col min="9" max="9" width="9" hidden="0" customWidth="1"/>
    <x:col min="10" max="10" width="7.75" hidden="0" customWidth="1"/>
    <x:col min="11" max="11" width="10.25" hidden="0" customWidth="1"/>
    <x:col min="12" max="12" width="21.25" hidden="0" customWidth="1"/>
    <x:col min="13" max="13" width="11.25" hidden="0" customWidth="1"/>
    <x:col min="14" max="14" width="23.75" hidden="0" customWidth="1"/>
    <x:col min="15" max="15" width="22.5" hidden="0" customWidth="1"/>
  </x:cols>
  <x:sheetData>
    <x:row r="1" ht="31.5" customHeight="1">
      <x:c r="A1" s="3" t="str">
        <x:v>佳伟产品版任务清单｜先看要做什么，再看技术怎么做</x:v>
      </x:c>
      <x:c r="B1" s="3" t="str">
        <x:v>佳伟产品版任务清单｜先看要做什么，再看技术怎么做</x:v>
      </x:c>
      <x:c r="C1" s="3" t="str">
        <x:v>佳伟产品版任务清单｜先看要做什么，再看技术怎么做</x:v>
      </x:c>
      <x:c r="D1" s="3" t="str">
        <x:v>佳伟产品版任务清单｜先看要做什么，再看技术怎么做</x:v>
      </x:c>
      <x:c r="E1" s="3" t="str">
        <x:v>佳伟产品版任务清单｜先看要做什么，再看技术怎么做</x:v>
      </x:c>
      <x:c r="F1" s="3" t="str">
        <x:v>佳伟产品版任务清单｜先看要做什么，再看技术怎么做</x:v>
      </x:c>
      <x:c r="G1" s="3" t="str">
        <x:v>佳伟产品版任务清单｜先看要做什么，再看技术怎么做</x:v>
      </x:c>
      <x:c r="H1" s="3" t="str">
        <x:v>佳伟产品版任务清单｜先看要做什么，再看技术怎么做</x:v>
      </x:c>
      <x:c r="I1" s="3" t="str">
        <x:v>佳伟产品版任务清单｜先看要做什么，再看技术怎么做</x:v>
      </x:c>
      <x:c r="J1" s="3" t="str">
        <x:v>佳伟产品版任务清单｜先看要做什么，再看技术怎么做</x:v>
      </x:c>
      <x:c r="K1" s="3" t="str">
        <x:v>佳伟产品版任务清单｜先看要做什么，再看技术怎么做</x:v>
      </x:c>
      <x:c r="L1" s="3" t="str">
        <x:v>佳伟产品版任务清单｜先看要做什么，再看技术怎么做</x:v>
      </x:c>
      <x:c r="M1" s="3" t="str">
        <x:v>佳伟产品版任务清单｜先看要做什么，再看技术怎么做</x:v>
      </x:c>
      <x:c r="N1" s="3" t="str">
        <x:v>佳伟产品版任务清单｜先看要做什么，再看技术怎么做</x:v>
      </x:c>
      <x:c r="O1" s="3" t="str">
        <x:v>佳伟产品版任务清单｜先看要做什么，再看技术怎么做</x:v>
      </x:c>
    </x:row>
    <x:row r="2" ht="25.5" customHeight="1">
      <x:c r="A2" s="7" t="str">
        <x:v>阅读顺序：先看“具体开发内容”和“用户怎么用/看到”；需要技术细节时再查看“我的任务清单”。归属确认同样支持 ✅属于我 / ❌不属于我 / ❓待确认。</x:v>
      </x:c>
      <x:c r="B2" s="7" t="str">
        <x:v>阅读顺序：先看“具体开发内容”和“用户怎么用/看到”；需要技术细节时再查看“我的任务清单”。归属确认同样支持 ✅属于我 / ❌不属于我 / ❓待确认。</x:v>
      </x:c>
      <x:c r="C2" s="7" t="str">
        <x:v>阅读顺序：先看“具体开发内容”和“用户怎么用/看到”；需要技术细节时再查看“我的任务清单”。归属确认同样支持 ✅属于我 / ❌不属于我 / ❓待确认。</x:v>
      </x:c>
      <x:c r="D2" s="7" t="str">
        <x:v>阅读顺序：先看“具体开发内容”和“用户怎么用/看到”；需要技术细节时再查看“我的任务清单”。归属确认同样支持 ✅属于我 / ❌不属于我 / ❓待确认。</x:v>
      </x:c>
      <x:c r="E2" s="7" t="str">
        <x:v>阅读顺序：先看“具体开发内容”和“用户怎么用/看到”；需要技术细节时再查看“我的任务清单”。归属确认同样支持 ✅属于我 / ❌不属于我 / ❓待确认。</x:v>
      </x:c>
      <x:c r="F2" s="7" t="str">
        <x:v>阅读顺序：先看“具体开发内容”和“用户怎么用/看到”；需要技术细节时再查看“我的任务清单”。归属确认同样支持 ✅属于我 / ❌不属于我 / ❓待确认。</x:v>
      </x:c>
      <x:c r="G2" s="7" t="str">
        <x:v>阅读顺序：先看“具体开发内容”和“用户怎么用/看到”；需要技术细节时再查看“我的任务清单”。归属确认同样支持 ✅属于我 / ❌不属于我 / ❓待确认。</x:v>
      </x:c>
      <x:c r="H2" s="7" t="str">
        <x:v>阅读顺序：先看“具体开发内容”和“用户怎么用/看到”；需要技术细节时再查看“我的任务清单”。归属确认同样支持 ✅属于我 / ❌不属于我 / ❓待确认。</x:v>
      </x:c>
      <x:c r="I2" s="7" t="str">
        <x:v>阅读顺序：先看“具体开发内容”和“用户怎么用/看到”；需要技术细节时再查看“我的任务清单”。归属确认同样支持 ✅属于我 / ❌不属于我 / ❓待确认。</x:v>
      </x:c>
      <x:c r="J2" s="7" t="str">
        <x:v>阅读顺序：先看“具体开发内容”和“用户怎么用/看到”；需要技术细节时再查看“我的任务清单”。归属确认同样支持 ✅属于我 / ❌不属于我 / ❓待确认。</x:v>
      </x:c>
      <x:c r="K2" s="7" t="str">
        <x:v>阅读顺序：先看“具体开发内容”和“用户怎么用/看到”；需要技术细节时再查看“我的任务清单”。归属确认同样支持 ✅属于我 / ❌不属于我 / ❓待确认。</x:v>
      </x:c>
      <x:c r="L2" s="7" t="str">
        <x:v>阅读顺序：先看“具体开发内容”和“用户怎么用/看到”；需要技术细节时再查看“我的任务清单”。归属确认同样支持 ✅属于我 / ❌不属于我 / ❓待确认。</x:v>
      </x:c>
      <x:c r="M2" s="7" t="str">
        <x:v>阅读顺序：先看“具体开发内容”和“用户怎么用/看到”；需要技术细节时再查看“我的任务清单”。归属确认同样支持 ✅属于我 / ❌不属于我 / ❓待确认。</x:v>
      </x:c>
      <x:c r="N2" s="7" t="str">
        <x:v>阅读顺序：先看“具体开发内容”和“用户怎么用/看到”；需要技术细节时再查看“我的任务清单”。归属确认同样支持 ✅属于我 / ❌不属于我 / ❓待确认。</x:v>
      </x:c>
      <x:c r="O2" s="7" t="str">
        <x:v>阅读顺序：先看“具体开发内容”和“用户怎么用/看到”；需要技术细节时再查看“我的任务清单”。归属确认同样支持 ✅属于我 / ❌不属于我 / ❓待确认。</x:v>
      </x:c>
    </x:row>
    <x:row r="3">
      <x:c r="A3" s="14" t="str">
        <x:v>产品功能总数</x:v>
      </x:c>
      <x:c r="B3" s="15" t="str">
        <x:v>产品功能总数</x:v>
      </x:c>
      <x:c r="C3" s="29" t="str">
        <x:v>✅ 属于我</x:v>
      </x:c>
      <x:c r="D3" s="30" t="str">
        <x:v>✅ 属于我</x:v>
      </x:c>
      <x:c r="E3" s="43" t="str">
        <x:v>❌ 不属于我</x:v>
      </x:c>
      <x:c r="F3" s="44" t="str">
        <x:v>❌ 不属于我</x:v>
      </x:c>
      <x:c r="G3" s="57" t="str">
        <x:v>❓ 待确认</x:v>
      </x:c>
      <x:c r="H3" s="58" t="str">
        <x:v>❓ 待确认</x:v>
      </x:c>
      <x:c r="I3" s="71" t="str">
        <x:v>已完成</x:v>
      </x:c>
      <x:c r="J3" s="72" t="str">
        <x:v>已完成</x:v>
      </x:c>
      <x:c r="K3" s="43" t="str">
        <x:v>P0核心功能</x:v>
      </x:c>
      <x:c r="L3" s="44" t="str">
        <x:v>P0核心功能</x:v>
      </x:c>
      <x:c r="M3" s="87" t="str">
        <x:v>我的主责功能</x:v>
      </x:c>
      <x:c r="N3" s="88" t="str">
        <x:v>我的主责功能</x:v>
      </x:c>
      <x:c r="O3" s="89" t="str">
        <x:v>我的主责功能</x:v>
      </x:c>
    </x:row>
    <x:row r="4">
      <x:c r="A4" s="22" t="n">
        <x:f>COUNTA($A$7:$A$45)</x:f>
        <x:v>39</x:v>
      </x:c>
      <x:c r="B4" s="23"/>
      <x:c r="C4" s="36" t="n">
        <x:f>COUNTIF($B$7:$B$45,"✅ 属于我")</x:f>
        <x:v>35</x:v>
      </x:c>
      <x:c r="D4" s="37"/>
      <x:c r="E4" s="50" t="n">
        <x:f>COUNTIF($B$7:$B$45,"❌ 不属于我")</x:f>
        <x:v>0</x:v>
      </x:c>
      <x:c r="F4" s="51"/>
      <x:c r="G4" s="64" t="n">
        <x:f>COUNTIF($B$7:$B$45,"❓ 待确认")</x:f>
        <x:v>4</x:v>
      </x:c>
      <x:c r="H4" s="65"/>
      <x:c r="I4" s="78" t="n">
        <x:f>COUNTIF($M$7:$M$45,"已完成")</x:f>
        <x:v>0</x:v>
      </x:c>
      <x:c r="J4" s="79"/>
      <x:c r="K4" s="50" t="n">
        <x:f>COUNTIF($J$7:$J$45,"P0")</x:f>
        <x:v>30</x:v>
      </x:c>
      <x:c r="L4" s="51"/>
      <x:c r="M4" s="97" t="n">
        <x:f>COUNTIFS($B$7:$B$45,"✅ 属于我",$I$7:$I$45,"主责")</x:f>
        <x:v>35</x:v>
      </x:c>
      <x:c r="N4" s="98"/>
      <x:c r="O4" s="99"/>
    </x:row>
    <x:row r="6">
      <x:c r="A6" s="105" t="str">
        <x:v>序号</x:v>
      </x:c>
      <x:c r="B6" s="105" t="str">
        <x:v>归属确认</x:v>
      </x:c>
      <x:c r="C6" s="105" t="str">
        <x:v>系统</x:v>
      </x:c>
      <x:c r="D6" s="105" t="str">
        <x:v>产品功能</x:v>
      </x:c>
      <x:c r="E6" s="105" t="str">
        <x:v>谁在什么场景使用</x:v>
      </x:c>
      <x:c r="F6" s="105" t="str">
        <x:v>具体开发内容（产品语言）</x:v>
      </x:c>
      <x:c r="G6" s="105" t="str">
        <x:v>用户怎么用 / 最终看到什么</x:v>
      </x:c>
      <x:c r="H6" s="105" t="str">
        <x:v>异常时系统怎么处理</x:v>
      </x:c>
      <x:c r="I6" s="105" t="str">
        <x:v>建议角色</x:v>
      </x:c>
      <x:c r="J6" s="105" t="str">
        <x:v>优先级</x:v>
      </x:c>
      <x:c r="K6" s="105" t="str">
        <x:v>阶段</x:v>
      </x:c>
      <x:c r="L6" s="105" t="str">
        <x:v>协作/依赖</x:v>
      </x:c>
      <x:c r="M6" s="105" t="str">
        <x:v>进度状态</x:v>
      </x:c>
      <x:c r="N6" s="105" t="str">
        <x:v>对应技术模块</x:v>
      </x:c>
      <x:c r="O6" s="105" t="str">
        <x:v>备注</x:v>
      </x:c>
    </x:row>
    <x:row r="7" ht="57" customHeight="1">
      <x:c r="A7" s="106" t="n">
        <x:v>1</x:v>
      </x:c>
      <x:c r="B7" s="106" t="str">
        <x:v>✅ 属于我</x:v>
      </x:c>
      <x:c r="C7" s="106" t="str">
        <x:v>Electron桌面端</x:v>
      </x:c>
      <x:c r="D7" s="107" t="str">
        <x:v>工位开机自检</x:v>
      </x:c>
      <x:c r="E7" s="108" t="str">
        <x:v>操作员每天开机准备生产</x:v>
      </x:c>
      <x:c r="F7" s="108" t="str">
        <x:v>打开软件后自动检查设备连接、本地数据库、磁盘空间、电脑时间、软件版本和Recipe版本，并把问题逐条列出来。</x:v>
      </x:c>
      <x:c r="G7" s="108" t="str">
        <x:v>全部正常时显示“工位已就绪”；有问题时直接告诉操作员找谁、做什么。</x:v>
      </x:c>
      <x:c r="H7" s="108" t="str">
        <x:v>任何关键检查未通过都锁住“开始检测”，不能带病生产。</x:v>
      </x:c>
      <x:c r="I7" s="107" t="str">
        <x:v>主责</x:v>
      </x:c>
      <x:c r="J7" s="107" t="str">
        <x:v>P0</x:v>
      </x:c>
      <x:c r="K7" s="107" t="str">
        <x:v>D1-D5</x:v>
      </x:c>
      <x:c r="L7" s="107" t="str">
        <x:v>IT/生产/QA</x:v>
      </x:c>
      <x:c r="M7" s="107" t="str">
        <x:v>未开始</x:v>
      </x:c>
      <x:c r="N7" s="108" t="str">
        <x:v>工位运维/锁站保护</x:v>
      </x:c>
      <x:c r="O7" s="108" t="str"/>
    </x:row>
    <x:row r="8" ht="57" customHeight="1">
      <x:c r="A8" s="106" t="n">
        <x:v>2</x:v>
      </x:c>
      <x:c r="B8" s="106" t="str">
        <x:v>✅ 属于我</x:v>
      </x:c>
      <x:c r="C8" s="106" t="str">
        <x:v>Electron桌面端</x:v>
      </x:c>
      <x:c r="D8" s="107" t="str">
        <x:v>插机自动识别</x:v>
      </x:c>
      <x:c r="E8" s="108" t="str">
        <x:v>操作员把待检产品插到USB工位</x:v>
      </x:c>
      <x:c r="F8" s="108" t="str">
        <x:v>软件自动找到刚插入的产品，读取设备唯一编号，不要求操作员寻找或选择COM口。</x:v>
      </x:c>
      <x:c r="G8" s="108" t="str">
        <x:v>页面自动出现“设备已连接”、设备UID和连接状态。</x:v>
      </x:c>
      <x:c r="H8" s="108" t="str">
        <x:v>识别到多个设备、未知设备或身份不完整时，明确提示并禁止开测。</x:v>
      </x:c>
      <x:c r="I8" s="107" t="str">
        <x:v>主责</x:v>
      </x:c>
      <x:c r="J8" s="107" t="str">
        <x:v>P0</x:v>
      </x:c>
      <x:c r="K8" s="107" t="str">
        <x:v>D1-D5</x:v>
      </x:c>
      <x:c r="L8" s="107" t="str">
        <x:v>小韩/设备样机</x:v>
      </x:c>
      <x:c r="M8" s="107" t="str">
        <x:v>未开始</x:v>
      </x:c>
      <x:c r="N8" s="108" t="str">
        <x:v>设备通信/设备身份</x:v>
      </x:c>
      <x:c r="O8" s="108" t="str"/>
    </x:row>
    <x:row r="9" ht="57" customHeight="1">
      <x:c r="A9" s="106" t="n">
        <x:v>3</x:v>
      </x:c>
      <x:c r="B9" s="106" t="str">
        <x:v>✅ 属于我</x:v>
      </x:c>
      <x:c r="C9" s="106" t="str">
        <x:v>Electron桌面端</x:v>
      </x:c>
      <x:c r="D9" s="107" t="str">
        <x:v>扫码防串机</x:v>
      </x:c>
      <x:c r="E9" s="108" t="str">
        <x:v>操作员扫描整机SN准备检测</x:v>
      </x:c>
      <x:c r="F9" s="108" t="str">
        <x:v>扫码后自动核对SN、设备UID、工单、型号和实际连接的产品，防止扫A机却测了B机。</x:v>
      </x:c>
      <x:c r="G9" s="108" t="str">
        <x:v>核对通过后显示绿色“身份一致”；不一致时显示具体冲突项。</x:v>
      </x:c>
      <x:c r="H9" s="108" t="str">
        <x:v>身份不一致、重复绑定或检测中换机时立即终止，不允许继续。</x:v>
      </x:c>
      <x:c r="I9" s="107" t="str">
        <x:v>主责</x:v>
      </x:c>
      <x:c r="J9" s="107" t="str">
        <x:v>P0</x:v>
      </x:c>
      <x:c r="K9" s="107" t="str">
        <x:v>D1-D5</x:v>
      </x:c>
      <x:c r="L9" s="107" t="str">
        <x:v>生产/小韩/PC端</x:v>
      </x:c>
      <x:c r="M9" s="107" t="str">
        <x:v>未开始</x:v>
      </x:c>
      <x:c r="N9" s="108" t="str">
        <x:v>防串机/身份管理</x:v>
      </x:c>
      <x:c r="O9" s="108" t="str"/>
    </x:row>
    <x:row r="10" ht="57" customHeight="1">
      <x:c r="A10" s="106" t="n">
        <x:v>4</x:v>
      </x:c>
      <x:c r="B10" s="106" t="str">
        <x:v>✅ 属于我</x:v>
      </x:c>
      <x:c r="C10" s="106" t="str">
        <x:v>Electron桌面端</x:v>
      </x:c>
      <x:c r="D10" s="107" t="str">
        <x:v>开测条件清单</x:v>
      </x:c>
      <x:c r="E10" s="108" t="str">
        <x:v>操作员准备点击开始检测</x:v>
      </x:c>
      <x:c r="F10" s="108" t="str">
        <x:v>在开测前用一张清单检查设备、SN、工单、Recipe、固件、参数包和外部仪器是否满足要求。</x:v>
      </x:c>
      <x:c r="G10" s="108" t="str">
        <x:v>每个条件显示通过或失败；全部通过才出现可点击的“开始检测”。</x:v>
      </x:c>
      <x:c r="H10" s="108" t="str">
        <x:v>任一条件缺失都显示原因和下一步，不允许只弹警告后继续。</x:v>
      </x:c>
      <x:c r="I10" s="107" t="str">
        <x:v>主责</x:v>
      </x:c>
      <x:c r="J10" s="107" t="str">
        <x:v>P0</x:v>
      </x:c>
      <x:c r="K10" s="107" t="str">
        <x:v>D1-D5</x:v>
      </x:c>
      <x:c r="L10" s="107" t="str">
        <x:v>QA/研发/生产</x:v>
      </x:c>
      <x:c r="M10" s="107" t="str">
        <x:v>未开始</x:v>
      </x:c>
      <x:c r="N10" s="108" t="str">
        <x:v>版本匹配/测试会话</x:v>
      </x:c>
      <x:c r="O10" s="108" t="str"/>
    </x:row>
    <x:row r="11" ht="57" customHeight="1">
      <x:c r="A11" s="106" t="n">
        <x:v>5</x:v>
      </x:c>
      <x:c r="B11" s="106" t="str">
        <x:v>✅ 属于我</x:v>
      </x:c>
      <x:c r="C11" s="106" t="str">
        <x:v>Electron桌面端</x:v>
      </x:c>
      <x:c r="D11" s="107" t="str">
        <x:v>自动选择检测方案</x:v>
      </x:c>
      <x:c r="E11" s="108" t="str">
        <x:v>不同机型、市场和固件版本进入同一工位</x:v>
      </x:c>
      <x:c r="F11" s="108" t="str">
        <x:v>系统根据工单、型号、市场、硬件、固件和参数包自动选择已经批准的Recipe。</x:v>
      </x:c>
      <x:c r="G11" s="108" t="str">
        <x:v>操作员只看到系统选中的检测方案名称、版本和适用范围，不需要手工选择。</x:v>
      </x:c>
      <x:c r="H11" s="108" t="str">
        <x:v>没有唯一匹配方案、方案过期或Hash不一致时锁站。</x:v>
      </x:c>
      <x:c r="I11" s="107" t="str">
        <x:v>主责</x:v>
      </x:c>
      <x:c r="J11" s="107" t="str">
        <x:v>P0</x:v>
      </x:c>
      <x:c r="K11" s="107" t="str">
        <x:v>D1-D5</x:v>
      </x:c>
      <x:c r="L11" s="107" t="str">
        <x:v>QA/研发/PC端Recipe</x:v>
      </x:c>
      <x:c r="M11" s="107" t="str">
        <x:v>未开始</x:v>
      </x:c>
      <x:c r="N11" s="108" t="str">
        <x:v>Recipe执行/版本匹配</x:v>
      </x:c>
      <x:c r="O11" s="108" t="str"/>
    </x:row>
    <x:row r="12" ht="57" customHeight="1">
      <x:c r="A12" s="106" t="n">
        <x:v>6</x:v>
      </x:c>
      <x:c r="B12" s="106" t="str">
        <x:v>✅ 属于我</x:v>
      </x:c>
      <x:c r="C12" s="106" t="str">
        <x:v>Electron桌面端</x:v>
      </x:c>
      <x:c r="D12" s="107" t="str">
        <x:v>一键自动检测</x:v>
      </x:c>
      <x:c r="E12" s="108" t="str">
        <x:v>操作员确认产品身份后开始检测</x:v>
      </x:c>
      <x:c r="F12" s="108" t="str">
        <x:v>点击一次“开始检测”，软件按照Recipe自动发命令、读取数据、计算结果并完成全部必检项。</x:v>
      </x:c>
      <x:c r="G12" s="108" t="str">
        <x:v>操作员不需要逐项点击，页面自动推进直到得到检测结论。</x:v>
      </x:c>
      <x:c r="H12" s="108" t="str">
        <x:v>不能跳过必检项；异常中止后不能把未完成的检测当成通过。</x:v>
      </x:c>
      <x:c r="I12" s="107" t="str">
        <x:v>主责</x:v>
      </x:c>
      <x:c r="J12" s="107" t="str">
        <x:v>P0</x:v>
      </x:c>
      <x:c r="K12" s="107" t="str">
        <x:v>D1-D5</x:v>
      </x:c>
      <x:c r="L12" s="107" t="str">
        <x:v>小韩/QA/研发</x:v>
      </x:c>
      <x:c r="M12" s="107" t="str">
        <x:v>未开始</x:v>
      </x:c>
      <x:c r="N12" s="108" t="str">
        <x:v>自动检测/Recipe执行</x:v>
      </x:c>
      <x:c r="O12" s="108" t="str"/>
    </x:row>
    <x:row r="13" ht="57" customHeight="1">
      <x:c r="A13" s="106" t="n">
        <x:v>7</x:v>
      </x:c>
      <x:c r="B13" s="106" t="str">
        <x:v>✅ 属于我</x:v>
      </x:c>
      <x:c r="C13" s="106" t="str">
        <x:v>Electron桌面端</x:v>
      </x:c>
      <x:c r="D13" s="107" t="str">
        <x:v>检测进度页面</x:v>
      </x:c>
      <x:c r="E13" s="108" t="str">
        <x:v>操作员等待一台产品完成检测</x:v>
      </x:c>
      <x:c r="F13" s="108" t="str">
        <x:v>实时展示总进度、当前检测项目、已用时间、当前数值和剩余步骤。</x:v>
      </x:c>
      <x:c r="G13" s="108" t="str">
        <x:v>操作员能一眼看出现在测到哪里、是否卡住、还要多久。</x:v>
      </x:c>
      <x:c r="H13" s="108" t="str">
        <x:v>通信断开或事件中断时停止更新并显示异常，不能继续显示旧进度。</x:v>
      </x:c>
      <x:c r="I13" s="107" t="str">
        <x:v>主责</x:v>
      </x:c>
      <x:c r="J13" s="107" t="str">
        <x:v>P0</x:v>
      </x:c>
      <x:c r="K13" s="107" t="str">
        <x:v>D1-D5</x:v>
      </x:c>
      <x:c r="L13" s="107" t="str">
        <x:v>生产/小韩</x:v>
      </x:c>
      <x:c r="M13" s="107" t="str">
        <x:v>未开始</x:v>
      </x:c>
      <x:c r="N13" s="108" t="str">
        <x:v>操作员界面/自动检测</x:v>
      </x:c>
      <x:c r="O13" s="108" t="str"/>
    </x:row>
    <x:row r="14" ht="57" customHeight="1">
      <x:c r="A14" s="106" t="n">
        <x:v>8</x:v>
      </x:c>
      <x:c r="B14" s="106" t="str">
        <x:v>✅ 属于我</x:v>
      </x:c>
      <x:c r="C14" s="106" t="str">
        <x:v>Electron桌面端</x:v>
      </x:c>
      <x:c r="D14" s="107" t="str">
        <x:v>检测结果与下一步</x:v>
      </x:c>
      <x:c r="E14" s="108" t="str">
        <x:v>单台检测结束</x:v>
      </x:c>
      <x:c r="F14" s="108" t="str">
        <x:v>把结果分为“EOL检测通过、产品不合格、系统异常、证据待补、检测中止”，并给出对应下一步。</x:v>
      </x:c>
      <x:c r="G14" s="108" t="str">
        <x:v>通过时显示“EOL检测通过，等待QA放行”；失败时告诉操作员转返修、重插设备或联系工程师。</x:v>
      </x:c>
      <x:c r="H14" s="108" t="str">
        <x:v>桌面端不能显示“QA已正式放行”或“仓库可出库”作为本地检测结果。</x:v>
      </x:c>
      <x:c r="I14" s="107" t="str">
        <x:v>主责</x:v>
      </x:c>
      <x:c r="J14" s="107" t="str">
        <x:v>P0</x:v>
      </x:c>
      <x:c r="K14" s="107" t="str">
        <x:v>D1-D5</x:v>
      </x:c>
      <x:c r="L14" s="107" t="str">
        <x:v>QA/生产</x:v>
      </x:c>
      <x:c r="M14" s="107" t="str">
        <x:v>未开始</x:v>
      </x:c>
      <x:c r="N14" s="108" t="str">
        <x:v>状态模型/操作员界面</x:v>
      </x:c>
      <x:c r="O14" s="108" t="str"/>
    </x:row>
    <x:row r="15" ht="57" customHeight="1">
      <x:c r="A15" s="106" t="n">
        <x:v>9</x:v>
      </x:c>
      <x:c r="B15" s="106" t="str">
        <x:v>✅ 属于我</x:v>
      </x:c>
      <x:c r="C15" s="106" t="str">
        <x:v>Electron桌面端</x:v>
      </x:c>
      <x:c r="D15" s="107" t="str">
        <x:v>拔线立即清屏</x:v>
      </x:c>
      <x:c r="E15" s="108" t="str">
        <x:v>操作员拔下当前产品并准备检测下一台</x:v>
      </x:c>
      <x:c r="F15" s="108" t="str">
        <x:v>设备拔线后立即清除上一台的SN、UID、测量值、进度和绿色结果。</x:v>
      </x:c>
      <x:c r="G15" s="108" t="str">
        <x:v>页面回到“等待连接设备”，避免下一台误看到上一台结果。</x:v>
      </x:c>
      <x:c r="H15" s="108" t="str">
        <x:v>设备重启、会话过期或后台断开时采用同样处理。</x:v>
      </x:c>
      <x:c r="I15" s="107" t="str">
        <x:v>主责</x:v>
      </x:c>
      <x:c r="J15" s="107" t="str">
        <x:v>P0</x:v>
      </x:c>
      <x:c r="K15" s="107" t="str">
        <x:v>D1-D5</x:v>
      </x:c>
      <x:c r="L15" s="107" t="str">
        <x:v>设备样机/测试</x:v>
      </x:c>
      <x:c r="M15" s="107" t="str">
        <x:v>未开始</x:v>
      </x:c>
      <x:c r="N15" s="108" t="str">
        <x:v>界面安全/会话隔离</x:v>
      </x:c>
      <x:c r="O15" s="108" t="str"/>
    </x:row>
    <x:row r="16" ht="57" customHeight="1">
      <x:c r="A16" s="106" t="n">
        <x:v>10</x:v>
      </x:c>
      <x:c r="B16" s="106" t="str">
        <x:v>✅ 属于我</x:v>
      </x:c>
      <x:c r="C16" s="106" t="str">
        <x:v>Electron桌面端</x:v>
      </x:c>
      <x:c r="D16" s="107" t="str">
        <x:v>通信异常自动恢复</x:v>
      </x:c>
      <x:c r="E16" s="108" t="str">
        <x:v>USB松动、设备短暂掉线或响应超时</x:v>
      </x:c>
      <x:c r="F16" s="108" t="str">
        <x:v>系统按照设定次数自动重试和重新连接，并保留可安全恢复的检测上下文。</x:v>
      </x:c>
      <x:c r="G16" s="108" t="str">
        <x:v>短暂故障自动恢复；无法恢复时显示“系统异常”及处理建议。</x:v>
      </x:c>
      <x:c r="H16" s="108" t="str">
        <x:v>恢复后必须重新确认设备UID，不能把旧设备数据接到当前产品。</x:v>
      </x:c>
      <x:c r="I16" s="107" t="str">
        <x:v>主责</x:v>
      </x:c>
      <x:c r="J16" s="107" t="str">
        <x:v>P0</x:v>
      </x:c>
      <x:c r="K16" s="107" t="str">
        <x:v>D1-D5</x:v>
      </x:c>
      <x:c r="L16" s="107" t="str">
        <x:v>小韩/现场测试</x:v>
      </x:c>
      <x:c r="M16" s="107" t="str">
        <x:v>未开始</x:v>
      </x:c>
      <x:c r="N16" s="108" t="str">
        <x:v>通信协议/异常恢复</x:v>
      </x:c>
      <x:c r="O16" s="108" t="str"/>
    </x:row>
    <x:row r="17" ht="57" customHeight="1">
      <x:c r="A17" s="106" t="n">
        <x:v>11</x:v>
      </x:c>
      <x:c r="B17" s="106" t="str">
        <x:v>✅ 属于我</x:v>
      </x:c>
      <x:c r="C17" s="106" t="str">
        <x:v>Electron桌面端</x:v>
      </x:c>
      <x:c r="D17" s="107" t="str">
        <x:v>检测数据先保存再亮绿</x:v>
      </x:c>
      <x:c r="E17" s="108" t="str">
        <x:v>检测完成准备显示结果</x:v>
      </x:c>
      <x:c r="F17" s="108" t="str">
        <x:v>先把原始帧、测量值、阈值、Recipe版本和最终结果完整保存到本地数据库，保存成功后才能显示通过。</x:v>
      </x:c>
      <x:c r="G17" s="108" t="str">
        <x:v>操作员看到绿色结果时，代表这台产品的检测证据已经可靠落盘。</x:v>
      </x:c>
      <x:c r="H17" s="108" t="str">
        <x:v>数据库错误、磁盘不足或事务失败时只能显示系统异常，绝不能先亮绿。</x:v>
      </x:c>
      <x:c r="I17" s="107" t="str">
        <x:v>主责</x:v>
      </x:c>
      <x:c r="J17" s="107" t="str">
        <x:v>P0</x:v>
      </x:c>
      <x:c r="K17" s="107" t="str">
        <x:v>D1-D5</x:v>
      </x:c>
      <x:c r="L17" s="107" t="str">
        <x:v>QA/PC端数据契约</x:v>
      </x:c>
      <x:c r="M17" s="107" t="str">
        <x:v>未开始</x:v>
      </x:c>
      <x:c r="N17" s="108" t="str">
        <x:v>本地数据库/原子提交</x:v>
      </x:c>
      <x:c r="O17" s="108" t="str"/>
    </x:row>
    <x:row r="18" ht="57" customHeight="1">
      <x:c r="A18" s="106" t="n">
        <x:v>12</x:v>
      </x:c>
      <x:c r="B18" s="106" t="str">
        <x:v>✅ 属于我</x:v>
      </x:c>
      <x:c r="C18" s="106" t="str">
        <x:v>Electron桌面端</x:v>
      </x:c>
      <x:c r="D18" s="107" t="str">
        <x:v>断网继续检测</x:v>
      </x:c>
      <x:c r="E18" s="108" t="str">
        <x:v>工位网络临时中断但产线仍需检测</x:v>
      </x:c>
      <x:c r="F18" s="108" t="str">
        <x:v>检测结果先保存在工位电脑，进入待同步队列；网络恢复后自动补传。</x:v>
      </x:c>
      <x:c r="G18" s="108" t="str">
        <x:v>页面区分“本机已保存”和“中心已同步”，并显示待同步数量。</x:v>
      </x:c>
      <x:c r="H18" s="108" t="str">
        <x:v>本机保存不等于QA放行；同步冲突时锁定相关产品等待处理。</x:v>
      </x:c>
      <x:c r="I18" s="107" t="str">
        <x:v>主责</x:v>
      </x:c>
      <x:c r="J18" s="107" t="str">
        <x:v>P0</x:v>
      </x:c>
      <x:c r="K18" s="107" t="str">
        <x:v>D1-D5</x:v>
      </x:c>
      <x:c r="L18" s="107" t="str">
        <x:v>PC端同步接口/IT</x:v>
      </x:c>
      <x:c r="M18" s="107" t="str">
        <x:v>未开始</x:v>
      </x:c>
      <x:c r="N18" s="108" t="str">
        <x:v>离线同步/Outbox</x:v>
      </x:c>
      <x:c r="O18" s="108" t="str"/>
    </x:row>
    <x:row r="19" ht="57" customHeight="1">
      <x:c r="A19" s="106" t="n">
        <x:v>13</x:v>
      </x:c>
      <x:c r="B19" s="106" t="str">
        <x:v>❓ 待确认</x:v>
      </x:c>
      <x:c r="C19" s="106" t="str">
        <x:v>Electron桌面端</x:v>
      </x:c>
      <x:c r="D19" s="107" t="str">
        <x:v>外部仪器证据关联</x:v>
      </x:c>
      <x:c r="E19" s="108" t="str">
        <x:v>氧浓度、流量等结果来自其他仪器</x:v>
      </x:c>
      <x:c r="F19" s="108" t="str">
        <x:v>把外部仪器给出的结果、文件或记录编号关联到当前SN和run_id。</x:v>
      </x:c>
      <x:c r="G19" s="108" t="str">
        <x:v>工程详情中可以同时看到设备检测结果和外部证据。</x:v>
      </x:c>
      <x:c r="H19" s="108" t="str">
        <x:v>必需证据没有关联成功时只能显示“待补证据”，不能通过。</x:v>
      </x:c>
      <x:c r="I19" s="107" t="str">
        <x:v>配合</x:v>
      </x:c>
      <x:c r="J19" s="107" t="str">
        <x:v>P1</x:v>
      </x:c>
      <x:c r="K19" s="107" t="str">
        <x:v>D6-D10</x:v>
      </x:c>
      <x:c r="L19" s="107" t="str">
        <x:v>工艺/测试/仪器负责人</x:v>
      </x:c>
      <x:c r="M19" s="107" t="str">
        <x:v>未开始</x:v>
      </x:c>
      <x:c r="N19" s="108" t="str">
        <x:v>外部证据</x:v>
      </x:c>
      <x:c r="O19" s="108" t="str">
        <x:v>确认仪器数据由谁提供</x:v>
      </x:c>
    </x:row>
    <x:row r="20" ht="57" customHeight="1">
      <x:c r="A20" s="106" t="n">
        <x:v>14</x:v>
      </x:c>
      <x:c r="B20" s="106" t="str">
        <x:v>✅ 属于我</x:v>
      </x:c>
      <x:c r="C20" s="106" t="str">
        <x:v>Electron桌面端</x:v>
      </x:c>
      <x:c r="D20" s="107" t="str">
        <x:v>工程诊断详情</x:v>
      </x:c>
      <x:c r="E20" s="108" t="str">
        <x:v>工程师处理NG或通信异常</x:v>
      </x:c>
      <x:c r="F20" s="108" t="str">
        <x:v>提供实际值、上下限、曲线、原始帧、错误码、软件版本和Recipe版本的只读详情。</x:v>
      </x:c>
      <x:c r="G20" s="108" t="str">
        <x:v>工程师可按SN或run_id查看本机历史并定位问题。</x:v>
      </x:c>
      <x:c r="H20" s="108" t="str">
        <x:v>操作员默认看不到调试入口；详情页也不能修改原始结果。</x:v>
      </x:c>
      <x:c r="I20" s="107" t="str">
        <x:v>主责</x:v>
      </x:c>
      <x:c r="J20" s="107" t="str">
        <x:v>P1</x:v>
      </x:c>
      <x:c r="K20" s="107" t="str">
        <x:v>D6-D10</x:v>
      </x:c>
      <x:c r="L20" s="107" t="str">
        <x:v>工程/维修/小韩</x:v>
      </x:c>
      <x:c r="M20" s="107" t="str">
        <x:v>未开始</x:v>
      </x:c>
      <x:c r="N20" s="108" t="str">
        <x:v>工程界面/数据留存</x:v>
      </x:c>
      <x:c r="O20" s="108" t="str"/>
    </x:row>
    <x:row r="21" ht="57" customHeight="1">
      <x:c r="A21" s="106" t="n">
        <x:v>15</x:v>
      </x:c>
      <x:c r="B21" s="106" t="str">
        <x:v>✅ 属于我</x:v>
      </x:c>
      <x:c r="C21" s="106" t="str">
        <x:v>Electron桌面端</x:v>
      </x:c>
      <x:c r="D21" s="107" t="str">
        <x:v>人员权限切换</x:v>
      </x:c>
      <x:c r="E21" s="108" t="str">
        <x:v>操作员、班组长、工程师和维修人员使用同一工位</x:v>
      </x:c>
      <x:c r="F21" s="108" t="str">
        <x:v>根据登录人员显示对应页面和操作，普通操作员只看生产步骤，工程人员才能看诊断详情。</x:v>
      </x:c>
      <x:c r="G21" s="108" t="str">
        <x:v>不同角色登录后菜单和按钮自动变化。</x:v>
      </x:c>
      <x:c r="H21" s="108" t="str">
        <x:v>任何角色都不能获得“强制PASS”；返修写入必须进入独立工具。</x:v>
      </x:c>
      <x:c r="I21" s="107" t="str">
        <x:v>主责</x:v>
      </x:c>
      <x:c r="J21" s="107" t="str">
        <x:v>P1</x:v>
      </x:c>
      <x:c r="K21" s="107" t="str">
        <x:v>D6-D10</x:v>
      </x:c>
      <x:c r="L21" s="107" t="str">
        <x:v>管理员/QA</x:v>
      </x:c>
      <x:c r="M21" s="107" t="str">
        <x:v>未开始</x:v>
      </x:c>
      <x:c r="N21" s="108" t="str">
        <x:v>权限/界面安全</x:v>
      </x:c>
      <x:c r="O21" s="108" t="str"/>
    </x:row>
    <x:row r="22" ht="57" customHeight="1">
      <x:c r="A22" s="106" t="n">
        <x:v>16</x:v>
      </x:c>
      <x:c r="B22" s="106" t="str">
        <x:v>✅ 属于我</x:v>
      </x:c>
      <x:c r="C22" s="106" t="str">
        <x:v>Electron桌面端</x:v>
      </x:c>
      <x:c r="D22" s="107" t="str">
        <x:v>独立返修工具</x:v>
      </x:c>
      <x:c r="E22" s="108" t="str">
        <x:v>维修人员需要清Debug、刷固件、改参数或标定</x:v>
      </x:c>
      <x:c r="F22" s="108" t="str">
        <x:v>单独提供返修工具，读取PC端签发的返修授权后才允许执行指定操作。</x:v>
      </x:c>
      <x:c r="G22" s="108" t="str">
        <x:v>维修人员能看到允许操作、有效时间和执行结果；每一步都有记录。</x:v>
      </x:c>
      <x:c r="H22" s="108" t="str">
        <x:v>终检页面没有写入按钮；没有授权或授权过期时不能执行。</x:v>
      </x:c>
      <x:c r="I22" s="107" t="str">
        <x:v>主责</x:v>
      </x:c>
      <x:c r="J22" s="107" t="str">
        <x:v>P0</x:v>
      </x:c>
      <x:c r="K22" s="107" t="str">
        <x:v>D6-D10</x:v>
      </x:c>
      <x:c r="L22" s="107" t="str">
        <x:v>维修/QA/小韩/PC端</x:v>
      </x:c>
      <x:c r="M22" s="107" t="str">
        <x:v>未开始</x:v>
      </x:c>
      <x:c r="N22" s="108" t="str">
        <x:v>返修工具/权限</x:v>
      </x:c>
      <x:c r="O22" s="108" t="str"/>
    </x:row>
    <x:row r="23" ht="57" customHeight="1">
      <x:c r="A23" s="106" t="n">
        <x:v>17</x:v>
      </x:c>
      <x:c r="B23" s="106" t="str">
        <x:v>✅ 属于我</x:v>
      </x:c>
      <x:c r="C23" s="106" t="str">
        <x:v>Electron桌面端</x:v>
      </x:c>
      <x:c r="D23" s="107" t="str">
        <x:v>返修后完整重测</x:v>
      </x:c>
      <x:c r="E23" s="108" t="str">
        <x:v>产品刷固件、改参数、换件或重新绑定后回到检测工位</x:v>
      </x:c>
      <x:c r="F23" s="108" t="str">
        <x:v>自动识别产品配置已经变化，使旧通过结果失效，并创建新的run_id执行完整检测。</x:v>
      </x:c>
      <x:c r="G23" s="108" t="str">
        <x:v>操作员看到“旧结果已失效，需要完整重测”，不能只测上次失败项。</x:v>
      </x:c>
      <x:c r="H23" s="108" t="str">
        <x:v>任何影响质量指纹的变更都必须触发完整重测。</x:v>
      </x:c>
      <x:c r="I23" s="107" t="str">
        <x:v>主责</x:v>
      </x:c>
      <x:c r="J23" s="107" t="str">
        <x:v>P0</x:v>
      </x:c>
      <x:c r="K23" s="107" t="str">
        <x:v>D6-D10</x:v>
      </x:c>
      <x:c r="L23" s="107" t="str">
        <x:v>维修/QA/PC端</x:v>
      </x:c>
      <x:c r="M23" s="107" t="str">
        <x:v>未开始</x:v>
      </x:c>
      <x:c r="N23" s="108" t="str">
        <x:v>失效重测/配置指纹</x:v>
      </x:c>
      <x:c r="O23" s="108" t="str"/>
    </x:row>
    <x:row r="24" ht="57" customHeight="1">
      <x:c r="A24" s="106" t="n">
        <x:v>18</x:v>
      </x:c>
      <x:c r="B24" s="106" t="str">
        <x:v>❓ 待确认</x:v>
      </x:c>
      <x:c r="C24" s="106" t="str">
        <x:v>Electron桌面端</x:v>
      </x:c>
      <x:c r="D24" s="107" t="str">
        <x:v>工位安装与复制</x:v>
      </x:c>
      <x:c r="E24" s="108" t="str">
        <x:v>部署正式工位和备用工位</x:v>
      </x:c>
      <x:c r="F24" s="108" t="str">
        <x:v>提供可安装的Windows程序，并为每台工位设置独立工位编号、证书、版本和Recipe配置。</x:v>
      </x:c>
      <x:c r="G24" s="108" t="str">
        <x:v>安装后可以通过自检确认当前工位是否配置正确。</x:v>
      </x:c>
      <x:c r="H24" s="108" t="str">
        <x:v>复制工位软件时不能复制station_id和密钥；升级失败需要可回滚。</x:v>
      </x:c>
      <x:c r="I24" s="107" t="str">
        <x:v>配合</x:v>
      </x:c>
      <x:c r="J24" s="107" t="str">
        <x:v>P1</x:v>
      </x:c>
      <x:c r="K24" s="107" t="str">
        <x:v>D11-D14</x:v>
      </x:c>
      <x:c r="L24" s="107" t="str">
        <x:v>IT/生产/证书负责人</x:v>
      </x:c>
      <x:c r="M24" s="107" t="str">
        <x:v>未开始</x:v>
      </x:c>
      <x:c r="N24" s="108" t="str">
        <x:v>Windows发布/工位复制</x:v>
      </x:c>
      <x:c r="O24" s="108" t="str">
        <x:v>确认IT与软件负责人边界</x:v>
      </x:c>
    </x:row>
    <x:row r="25" ht="57" customHeight="1">
      <x:c r="A25" s="106" t="n">
        <x:v>19</x:v>
      </x:c>
      <x:c r="B25" s="106" t="str">
        <x:v>✅ 属于我</x:v>
      </x:c>
      <x:c r="C25" s="106" t="str">
        <x:v>当前项目PC端</x:v>
      </x:c>
      <x:c r="D25" s="107" t="str">
        <x:v>产品与工单配置</x:v>
      </x:c>
      <x:c r="E25" s="108" t="str">
        <x:v>生产或管理员准备新的生产工单</x:v>
      </x:c>
      <x:c r="F25" s="108" t="str">
        <x:v>维护产品型号、市场、硬件版本、固件要求、参数包要求和允许使用的Recipe。</x:v>
      </x:c>
      <x:c r="G25" s="108" t="str">
        <x:v>工单详情清楚列出这批产品应该使用什么配置，Electron自动下载使用。</x:v>
      </x:c>
      <x:c r="H25" s="108" t="str">
        <x:v>配置未批准或版本不完整时不能下发到生产工位。</x:v>
      </x:c>
      <x:c r="I25" s="107" t="str">
        <x:v>主责</x:v>
      </x:c>
      <x:c r="J25" s="107" t="str">
        <x:v>P0</x:v>
      </x:c>
      <x:c r="K25" s="107" t="str">
        <x:v>D1-D5</x:v>
      </x:c>
      <x:c r="L25" s="107" t="str">
        <x:v>生产/研发/QA</x:v>
      </x:c>
      <x:c r="M25" s="107" t="str">
        <x:v>未开始</x:v>
      </x:c>
      <x:c r="N25" s="108" t="str">
        <x:v>主数据/版本管理</x:v>
      </x:c>
      <x:c r="O25" s="108" t="str"/>
    </x:row>
    <x:row r="26" ht="57" customHeight="1">
      <x:c r="A26" s="106" t="n">
        <x:v>20</x:v>
      </x:c>
      <x:c r="B26" s="106" t="str">
        <x:v>✅ 属于我</x:v>
      </x:c>
      <x:c r="C26" s="106" t="str">
        <x:v>当前项目PC端</x:v>
      </x:c>
      <x:c r="D26" s="107" t="str">
        <x:v>SN与UID身份档案</x:v>
      </x:c>
      <x:c r="E26" s="108" t="str">
        <x:v>产品第一次进入检测或发生重绑</x:v>
      </x:c>
      <x:c r="F26" s="108" t="str">
        <x:v>建立每台产品的SN、完整MCU UID、工单、型号和历史绑定档案。</x:v>
      </x:c>
      <x:c r="G26" s="108" t="str">
        <x:v>输入SN或UID可以看到当前绑定关系和每次变更记录。</x:v>
      </x:c>
      <x:c r="H26" s="108" t="str">
        <x:v>重复UID、错误工单或未授权重绑必须阻止并进入异常处理。</x:v>
      </x:c>
      <x:c r="I26" s="107" t="str">
        <x:v>主责</x:v>
      </x:c>
      <x:c r="J26" s="107" t="str">
        <x:v>P0</x:v>
      </x:c>
      <x:c r="K26" s="107" t="str">
        <x:v>D1-D5</x:v>
      </x:c>
      <x:c r="L26" s="107" t="str">
        <x:v>生产/小韩/QA</x:v>
      </x:c>
      <x:c r="M26" s="107" t="str">
        <x:v>未开始</x:v>
      </x:c>
      <x:c r="N26" s="108" t="str">
        <x:v>身份管理/中心数据</x:v>
      </x:c>
      <x:c r="O26" s="108" t="str"/>
    </x:row>
    <x:row r="27" ht="57" customHeight="1">
      <x:c r="A27" s="106" t="n">
        <x:v>21</x:v>
      </x:c>
      <x:c r="B27" s="106" t="str">
        <x:v>✅ 属于我</x:v>
      </x:c>
      <x:c r="C27" s="106" t="str">
        <x:v>当前项目PC端</x:v>
      </x:c>
      <x:c r="D27" s="107" t="str">
        <x:v>Recipe管理中心</x:v>
      </x:c>
      <x:c r="E27" s="108" t="str">
        <x:v>研发和QA准备或更新检测标准</x:v>
      </x:c>
      <x:c r="F27" s="108" t="str">
        <x:v>提供Recipe导入、查看、审核、发布、停用和历史版本管理，并保存版本号与Hash。</x:v>
      </x:c>
      <x:c r="G27" s="108" t="str">
        <x:v>QA能看到每版规则包含哪些项目、阈值和适用产品；发布后工位自动获取。</x:v>
      </x:c>
      <x:c r="H27" s="108" t="str">
        <x:v>普通操作员不能修改；已经发布的版本不能原地覆盖。</x:v>
      </x:c>
      <x:c r="I27" s="107" t="str">
        <x:v>主责</x:v>
      </x:c>
      <x:c r="J27" s="107" t="str">
        <x:v>P0</x:v>
      </x:c>
      <x:c r="K27" s="107" t="str">
        <x:v>D1-D5</x:v>
      </x:c>
      <x:c r="L27" s="107" t="str">
        <x:v>研发/QA</x:v>
      </x:c>
      <x:c r="M27" s="107" t="str">
        <x:v>未开始</x:v>
      </x:c>
      <x:c r="N27" s="108" t="str">
        <x:v>Recipe管理/发布</x:v>
      </x:c>
      <x:c r="O27" s="108" t="str"/>
    </x:row>
    <x:row r="28" ht="57" customHeight="1">
      <x:c r="A28" s="106" t="n">
        <x:v>22</x:v>
      </x:c>
      <x:c r="B28" s="106" t="str">
        <x:v>✅ 属于我</x:v>
      </x:c>
      <x:c r="C28" s="106" t="str">
        <x:v>当前项目PC端</x:v>
      </x:c>
      <x:c r="D28" s="107" t="str">
        <x:v>工位开测授权</x:v>
      </x:c>
      <x:c r="E28" s="108" t="str">
        <x:v>多台工位同时生产或临时断网</x:v>
      </x:c>
      <x:c r="F28" s="108" t="str">
        <x:v>开测前给工位发放当前SN或工单范围的授权，离线时使用预先分配且互不重叠的范围。</x:v>
      </x:c>
      <x:c r="G28" s="108" t="str">
        <x:v>工位能明确知道自己可以检测哪些产品。</x:v>
      </x:c>
      <x:c r="H28" s="108" t="str">
        <x:v>没有授权或授权冲突时不能开测，防止多工位离线重复检测同一产品。</x:v>
      </x:c>
      <x:c r="I28" s="107" t="str">
        <x:v>主责</x:v>
      </x:c>
      <x:c r="J28" s="107" t="str">
        <x:v>P0</x:v>
      </x:c>
      <x:c r="K28" s="107" t="str">
        <x:v>D1-D5</x:v>
      </x:c>
      <x:c r="L28" s="107" t="str">
        <x:v>生产计划/IT/Electron</x:v>
      </x:c>
      <x:c r="M28" s="107" t="str">
        <x:v>未开始</x:v>
      </x:c>
      <x:c r="N28" s="108" t="str">
        <x:v>离线防重/租约</x:v>
      </x:c>
      <x:c r="O28" s="108" t="str"/>
    </x:row>
    <x:row r="29" ht="57" customHeight="1">
      <x:c r="A29" s="106" t="n">
        <x:v>23</x:v>
      </x:c>
      <x:c r="B29" s="106" t="str">
        <x:v>✅ 属于我</x:v>
      </x:c>
      <x:c r="C29" s="106" t="str">
        <x:v>当前项目PC端</x:v>
      </x:c>
      <x:c r="D29" s="107" t="str">
        <x:v>工位接入与认证</x:v>
      </x:c>
      <x:c r="E29" s="108" t="str">
        <x:v>新工位首次接入或软件重新安装</x:v>
      </x:c>
      <x:c r="F29" s="108" t="str">
        <x:v>登记工位编号、证书、软件版本和允许使用的环境，为Electron提供受控接口。</x:v>
      </x:c>
      <x:c r="G29" s="108" t="str">
        <x:v>管理员能看到工位是否已授权、最近在线时间和当前版本。</x:v>
      </x:c>
      <x:c r="H29" s="108" t="str">
        <x:v>未知工位、过期证书或版本不兼容时拒绝连接。</x:v>
      </x:c>
      <x:c r="I29" s="107" t="str">
        <x:v>主责</x:v>
      </x:c>
      <x:c r="J29" s="107" t="str">
        <x:v>P0</x:v>
      </x:c>
      <x:c r="K29" s="107" t="str">
        <x:v>D1-D5</x:v>
      </x:c>
      <x:c r="L29" s="107" t="str">
        <x:v>IT/Electron</x:v>
      </x:c>
      <x:c r="M29" s="107" t="str">
        <x:v>未开始</x:v>
      </x:c>
      <x:c r="N29" s="108" t="str">
        <x:v>工位接口/认证</x:v>
      </x:c>
      <x:c r="O29" s="108" t="str"/>
    </x:row>
    <x:row r="30" ht="57" customHeight="1">
      <x:c r="A30" s="106" t="n">
        <x:v>24</x:v>
      </x:c>
      <x:c r="B30" s="106" t="str">
        <x:v>✅ 属于我</x:v>
      </x:c>
      <x:c r="C30" s="106" t="str">
        <x:v>当前项目PC端</x:v>
      </x:c>
      <x:c r="D30" s="107" t="str">
        <x:v>检测数据同步中心</x:v>
      </x:c>
      <x:c r="E30" s="108" t="str">
        <x:v>Electron把离线或实时检测数据上传中心</x:v>
      </x:c>
      <x:c r="F30" s="108" t="str">
        <x:v>接收工位上传的数据，自动去重、检查缺失顺序、核对Hash，并显示同步失败和冲突。</x:v>
      </x:c>
      <x:c r="G30" s="108" t="str">
        <x:v>管理员能看到每个工位待同步多少条、哪一台产品数据不完整以及失败原因。</x:v>
      </x:c>
      <x:c r="H30" s="108" t="str">
        <x:v>数据没收完整、内容冲突或Hash异常时不能进入QA放行。</x:v>
      </x:c>
      <x:c r="I30" s="107" t="str">
        <x:v>主责</x:v>
      </x:c>
      <x:c r="J30" s="107" t="str">
        <x:v>P0</x:v>
      </x:c>
      <x:c r="K30" s="107" t="str">
        <x:v>D6-D10</x:v>
      </x:c>
      <x:c r="L30" s="107" t="str">
        <x:v>Electron/IT</x:v>
      </x:c>
      <x:c r="M30" s="107" t="str">
        <x:v>未开始</x:v>
      </x:c>
      <x:c r="N30" s="108" t="str">
        <x:v>数据接收/完整性校验</x:v>
      </x:c>
      <x:c r="O30" s="108" t="str"/>
    </x:row>
    <x:row r="31" ht="57" customHeight="1">
      <x:c r="A31" s="106" t="n">
        <x:v>25</x:v>
      </x:c>
      <x:c r="B31" s="106" t="str">
        <x:v>✅ 属于我</x:v>
      </x:c>
      <x:c r="C31" s="106" t="str">
        <x:v>当前项目PC端</x:v>
      </x:c>
      <x:c r="D31" s="107" t="str">
        <x:v>中心检测档案</x:v>
      </x:c>
      <x:c r="E31" s="108" t="str">
        <x:v>QA、生产或售后查询一台产品完整历史</x:v>
      </x:c>
      <x:c r="F31" s="108" t="str">
        <x:v>集中保存每次run、全部测量值、原始失败、Recipe、版本、工位、人员、返修和重测记录。</x:v>
      </x:c>
      <x:c r="G31" s="108" t="str">
        <x:v>任何人按权限查询时看到的是同一份完整事实档案。</x:v>
      </x:c>
      <x:c r="H31" s="108" t="str">
        <x:v>新的通过记录不能覆盖旧NG；失效记录只能追加原因，不能删除。</x:v>
      </x:c>
      <x:c r="I31" s="107" t="str">
        <x:v>主责</x:v>
      </x:c>
      <x:c r="J31" s="107" t="str">
        <x:v>P0</x:v>
      </x:c>
      <x:c r="K31" s="107" t="str">
        <x:v>D6-D10</x:v>
      </x:c>
      <x:c r="L31" s="107" t="str">
        <x:v>Electron/QA</x:v>
      </x:c>
      <x:c r="M31" s="107" t="str">
        <x:v>未开始</x:v>
      </x:c>
      <x:c r="N31" s="108" t="str">
        <x:v>中心追溯/质量数据库</x:v>
      </x:c>
      <x:c r="O31" s="108" t="str"/>
    </x:row>
    <x:row r="32" ht="57" customHeight="1">
      <x:c r="A32" s="106" t="n">
        <x:v>26</x:v>
      </x:c>
      <x:c r="B32" s="106" t="str">
        <x:v>✅ 属于我</x:v>
      </x:c>
      <x:c r="C32" s="106" t="str">
        <x:v>当前项目PC端</x:v>
      </x:c>
      <x:c r="D32" s="107" t="str">
        <x:v>QA放行中心</x:v>
      </x:c>
      <x:c r="E32" s="108" t="str">
        <x:v>QA审核已经完成EOL检测的产品</x:v>
      </x:c>
      <x:c r="F32" s="108" t="str">
        <x:v>提供待审核列表和单机详情，集中展示身份、Recipe、版本、实测值、外部证据、NG及返修历史。</x:v>
      </x:c>
      <x:c r="G32" s="108" t="str">
        <x:v>QA确认资料完整后执行“正式放行、拒绝或撤销”，系统记录人员、时间和原因。</x:v>
      </x:c>
      <x:c r="H32" s="108" t="str">
        <x:v>EOL失败、数据未同步完整、版本错误或证据缺失时批准按钮不可用。</x:v>
      </x:c>
      <x:c r="I32" s="107" t="str">
        <x:v>主责</x:v>
      </x:c>
      <x:c r="J32" s="107" t="str">
        <x:v>P0</x:v>
      </x:c>
      <x:c r="K32" s="107" t="str">
        <x:v>D6-D10</x:v>
      </x:c>
      <x:c r="L32" s="107" t="str">
        <x:v>QA</x:v>
      </x:c>
      <x:c r="M32" s="107" t="str">
        <x:v>未开始</x:v>
      </x:c>
      <x:c r="N32" s="108" t="str">
        <x:v>QA界面/QA服务</x:v>
      </x:c>
      <x:c r="O32" s="108" t="str"/>
    </x:row>
    <x:row r="33" ht="57" customHeight="1">
      <x:c r="A33" s="106" t="n">
        <x:v>27</x:v>
      </x:c>
      <x:c r="B33" s="106" t="str">
        <x:v>✅ 属于我</x:v>
      </x:c>
      <x:c r="C33" s="106" t="str">
        <x:v>当前项目PC端</x:v>
      </x:c>
      <x:c r="D33" s="107" t="str">
        <x:v>三段状态展示</x:v>
      </x:c>
      <x:c r="E33" s="108" t="str">
        <x:v>生产、QA和仓库查看同一台产品状态</x:v>
      </x:c>
      <x:c r="F33" s="108" t="str">
        <x:v>在列表和详情中分别显示“EOL检测、QA放行、仓库出库”三条状态，避免都叫PASS。</x:v>
      </x:c>
      <x:c r="G33" s="108" t="str">
        <x:v>一眼能看出产品是检测通过但待QA、QA已放行但未出库，还是已经出库。</x:v>
      </x:c>
      <x:c r="H33" s="108" t="str">
        <x:v>三个状态不能互相覆盖；Electron只能产生EOL状态。</x:v>
      </x:c>
      <x:c r="I33" s="107" t="str">
        <x:v>主责</x:v>
      </x:c>
      <x:c r="J33" s="107" t="str">
        <x:v>P0</x:v>
      </x:c>
      <x:c r="K33" s="107" t="str">
        <x:v>D1-D5</x:v>
      </x:c>
      <x:c r="L33" s="107" t="str">
        <x:v>QA/仓库/生产</x:v>
      </x:c>
      <x:c r="M33" s="107" t="str">
        <x:v>未开始</x:v>
      </x:c>
      <x:c r="N33" s="108" t="str">
        <x:v>状态模型/QA界面</x:v>
      </x:c>
      <x:c r="O33" s="108" t="str"/>
    </x:row>
    <x:row r="34" ht="57" customHeight="1">
      <x:c r="A34" s="106" t="n">
        <x:v>28</x:v>
      </x:c>
      <x:c r="B34" s="106" t="str">
        <x:v>✅ 属于我</x:v>
      </x:c>
      <x:c r="C34" s="106" t="str">
        <x:v>当前项目PC端</x:v>
      </x:c>
      <x:c r="D34" s="107" t="str">
        <x:v>一机一码全程追溯</x:v>
      </x:c>
      <x:c r="E34" s="108" t="str">
        <x:v>QA、仓库、生产或售后按SN查产品</x:v>
      </x:c>
      <x:c r="F34" s="108" t="str">
        <x:v>支持按SN、UID、run_id、工单、工位和时间查询，串联检测、NG、返修、重测、QA和出库记录。</x:v>
      </x:c>
      <x:c r="G34" s="108" t="str">
        <x:v>用户输入一个SN即可看到从检测到出库的时间线和所有证据。</x:v>
      </x:c>
      <x:c r="H34" s="108" t="str">
        <x:v>无权限人员不能查看敏感原始帧；查询结果不能修改历史事实。</x:v>
      </x:c>
      <x:c r="I34" s="107" t="str">
        <x:v>主责</x:v>
      </x:c>
      <x:c r="J34" s="107" t="str">
        <x:v>P1</x:v>
      </x:c>
      <x:c r="K34" s="107" t="str">
        <x:v>D6-D10</x:v>
      </x:c>
      <x:c r="L34" s="107" t="str">
        <x:v>QA/生产/仓库</x:v>
      </x:c>
      <x:c r="M34" s="107" t="str">
        <x:v>未开始</x:v>
      </x:c>
      <x:c r="N34" s="108" t="str">
        <x:v>追溯页面/中心数据</x:v>
      </x:c>
      <x:c r="O34" s="108" t="str"/>
    </x:row>
    <x:row r="35" ht="57" customHeight="1">
      <x:c r="A35" s="106" t="n">
        <x:v>29</x:v>
      </x:c>
      <x:c r="B35" s="106" t="str">
        <x:v>✅ 属于我</x:v>
      </x:c>
      <x:c r="C35" s="106" t="str">
        <x:v>当前项目PC端</x:v>
      </x:c>
      <x:c r="D35" s="107" t="str">
        <x:v>NG与返修闭环</x:v>
      </x:c>
      <x:c r="E35" s="108" t="str">
        <x:v>检测失败后需要流转到维修并重新验证</x:v>
      </x:c>
      <x:c r="F35" s="108" t="str">
        <x:v>从失败run直接创建NG流转单和返修单，指定允许操作、负责人和有效期，接收返修结果并要求完整重测。</x:v>
      </x:c>
      <x:c r="G35" s="108" t="str">
        <x:v>维修、QA和生产都能看到当前处理到哪一步、下一位责任人是谁。</x:v>
      </x:c>
      <x:c r="H35" s="108" t="str">
        <x:v>返修后旧EOL、旧QA和未使用的出库资格自动失效。</x:v>
      </x:c>
      <x:c r="I35" s="107" t="str">
        <x:v>主责</x:v>
      </x:c>
      <x:c r="J35" s="107" t="str">
        <x:v>P1</x:v>
      </x:c>
      <x:c r="K35" s="107" t="str">
        <x:v>D6-D10</x:v>
      </x:c>
      <x:c r="L35" s="107" t="str">
        <x:v>维修/QA/生产</x:v>
      </x:c>
      <x:c r="M35" s="107" t="str">
        <x:v>未开始</x:v>
      </x:c>
      <x:c r="N35" s="108" t="str">
        <x:v>返修管理/返修失效</x:v>
      </x:c>
      <x:c r="O35" s="108" t="str"/>
    </x:row>
    <x:row r="36" ht="57" customHeight="1">
      <x:c r="A36" s="106" t="n">
        <x:v>30</x:v>
      </x:c>
      <x:c r="B36" s="106" t="str">
        <x:v>✅ 属于我</x:v>
      </x:c>
      <x:c r="C36" s="106" t="str">
        <x:v>当前项目PC端</x:v>
      </x:c>
      <x:c r="D36" s="107" t="str">
        <x:v>逐台出库互锁</x:v>
      </x:c>
      <x:c r="E36" s="108" t="str">
        <x:v>仓库准备把成品出库</x:v>
      </x:c>
      <x:c r="F36" s="108" t="str">
        <x:v>按每个SN检查EOL是否有效、QA是否正式放行、是否存在返修或质量冻结，并生成一次性出库资格。</x:v>
      </x:c>
      <x:c r="G36" s="108" t="str">
        <x:v>仓库扫描SN后明确显示“允许出库”或“禁止出库及原因”。</x:v>
      </x:c>
      <x:c r="H36" s="108" t="str">
        <x:v>不能只看SKU库存数量；未放行、资格已用或被撤销的产品不能出库。</x:v>
      </x:c>
      <x:c r="I36" s="107" t="str">
        <x:v>主责</x:v>
      </x:c>
      <x:c r="J36" s="107" t="str">
        <x:v>P0</x:v>
      </x:c>
      <x:c r="K36" s="107" t="str">
        <x:v>D6-D10</x:v>
      </x:c>
      <x:c r="L36" s="107" t="str">
        <x:v>仓库/QA/订单模块</x:v>
      </x:c>
      <x:c r="M36" s="107" t="str">
        <x:v>未开始</x:v>
      </x:c>
      <x:c r="N36" s="108" t="str">
        <x:v>仓库数据/仓库互锁</x:v>
      </x:c>
      <x:c r="O36" s="108" t="str"/>
    </x:row>
    <x:row r="37" ht="57" customHeight="1">
      <x:c r="A37" s="106" t="n">
        <x:v>31</x:v>
      </x:c>
      <x:c r="B37" s="106" t="str">
        <x:v>✅ 属于我</x:v>
      </x:c>
      <x:c r="C37" s="106" t="str">
        <x:v>当前项目PC端</x:v>
      </x:c>
      <x:c r="D37" s="107" t="str">
        <x:v>角色与操作权限</x:v>
      </x:c>
      <x:c r="E37" s="108" t="str">
        <x:v>操作员、维修、QA、仓库和管理员登录系统</x:v>
      </x:c>
      <x:c r="F37" s="108" t="str">
        <x:v>为不同角色配置可见页面和可执行动作，例如Recipe发布、QA放行、返修授权和出库。</x:v>
      </x:c>
      <x:c r="G37" s="108" t="str">
        <x:v>用户只看到自己有权使用的功能；关键动作需要再次确认或重新认证。</x:v>
      </x:c>
      <x:c r="H37" s="108" t="str">
        <x:v>前端隐藏按钮之外，后端也必须拒绝越权请求；系统不提供强制PASS权限。</x:v>
      </x:c>
      <x:c r="I37" s="107" t="str">
        <x:v>主责</x:v>
      </x:c>
      <x:c r="J37" s="107" t="str">
        <x:v>P0</x:v>
      </x:c>
      <x:c r="K37" s="107" t="str">
        <x:v>D6-D10</x:v>
      </x:c>
      <x:c r="L37" s="107" t="str">
        <x:v>QA/管理员/安全</x:v>
      </x:c>
      <x:c r="M37" s="107" t="str">
        <x:v>未开始</x:v>
      </x:c>
      <x:c r="N37" s="108" t="str">
        <x:v>权限/动作级权限</x:v>
      </x:c>
      <x:c r="O37" s="108" t="str"/>
    </x:row>
    <x:row r="38" ht="57" customHeight="1">
      <x:c r="A38" s="106" t="n">
        <x:v>32</x:v>
      </x:c>
      <x:c r="B38" s="106" t="str">
        <x:v>✅ 属于我</x:v>
      </x:c>
      <x:c r="C38" s="106" t="str">
        <x:v>当前项目PC端</x:v>
      </x:c>
      <x:c r="D38" s="107" t="str">
        <x:v>不可覆盖的质量审计</x:v>
      </x:c>
      <x:c r="E38" s="108" t="str">
        <x:v>发生Recipe发布、QA放行、返修、失效或出库</x:v>
      </x:c>
      <x:c r="F38" s="108" t="str">
        <x:v>自动记录谁在什么时间对哪台产品做了什么、修改前后状态及原因。</x:v>
      </x:c>
      <x:c r="G38" s="108" t="str">
        <x:v>QA或管理员可以按SN和时间查询完整操作轨迹。</x:v>
      </x:c>
      <x:c r="H38" s="108" t="str">
        <x:v>质量审计不能被普通日志清理、人工修改或因接口失败而漏记。</x:v>
      </x:c>
      <x:c r="I38" s="107" t="str">
        <x:v>主责</x:v>
      </x:c>
      <x:c r="J38" s="107" t="str">
        <x:v>P0</x:v>
      </x:c>
      <x:c r="K38" s="107" t="str">
        <x:v>D6-D10</x:v>
      </x:c>
      <x:c r="L38" s="107" t="str">
        <x:v>QA/体系/安全</x:v>
      </x:c>
      <x:c r="M38" s="107" t="str">
        <x:v>未开始</x:v>
      </x:c>
      <x:c r="N38" s="108" t="str">
        <x:v>质量审计</x:v>
      </x:c>
      <x:c r="O38" s="108" t="str"/>
    </x:row>
    <x:row r="39" ht="57" customHeight="1">
      <x:c r="A39" s="106" t="n">
        <x:v>33</x:v>
      </x:c>
      <x:c r="B39" s="106" t="str">
        <x:v>✅ 属于我</x:v>
      </x:c>
      <x:c r="C39" s="106" t="str">
        <x:v>当前项目PC端</x:v>
      </x:c>
      <x:c r="D39" s="107" t="str">
        <x:v>质量与产能报表</x:v>
      </x:c>
      <x:c r="E39" s="108" t="str">
        <x:v>管理人员每日查看检测和回检进度</x:v>
      </x:c>
      <x:c r="F39" s="108" t="str">
        <x:v>统计产量、通过率、NG原因、返修率、完整重测率、检测耗时、通信成功率和同步积压。</x:v>
      </x:c>
      <x:c r="G39" s="108" t="str">
        <x:v>按日期、工单、机型和工位筛选，并可导出日结结果。</x:v>
      </x:c>
      <x:c r="H39" s="108" t="str">
        <x:v>报表数字必须能点回原始产品记录，不能只保存汇总数。</x:v>
      </x:c>
      <x:c r="I39" s="107" t="str">
        <x:v>主责</x:v>
      </x:c>
      <x:c r="J39" s="107" t="str">
        <x:v>P1</x:v>
      </x:c>
      <x:c r="K39" s="107" t="str">
        <x:v>D11-D14</x:v>
      </x:c>
      <x:c r="L39" s="107" t="str">
        <x:v>生产/QA</x:v>
      </x:c>
      <x:c r="M39" s="107" t="str">
        <x:v>未开始</x:v>
      </x:c>
      <x:c r="N39" s="108" t="str">
        <x:v>报表</x:v>
      </x:c>
      <x:c r="O39" s="108" t="str"/>
    </x:row>
    <x:row r="40" ht="57" customHeight="1">
      <x:c r="A40" s="106" t="n">
        <x:v>34</x:v>
      </x:c>
      <x:c r="B40" s="106" t="str">
        <x:v>✅ 属于我</x:v>
      </x:c>
      <x:c r="C40" s="106" t="str">
        <x:v>当前项目PC端</x:v>
      </x:c>
      <x:c r="D40" s="107" t="str">
        <x:v>工位运行看板</x:v>
      </x:c>
      <x:c r="E40" s="108" t="str">
        <x:v>IT和生产负责人查看6+1工位运行情况</x:v>
      </x:c>
      <x:c r="F40" s="108" t="str">
        <x:v>展示每个工位在线状态、软件版本、Recipe Hash、最近检测、同步积压和健康异常。</x:v>
      </x:c>
      <x:c r="G40" s="108" t="str">
        <x:v>负责人能快速找到掉线、版本漂移或积压严重的工位。</x:v>
      </x:c>
      <x:c r="H40" s="108" t="str">
        <x:v>看板只负责监控；异常工位仍由Electron本地fail-closed锁站。</x:v>
      </x:c>
      <x:c r="I40" s="107" t="str">
        <x:v>主责</x:v>
      </x:c>
      <x:c r="J40" s="107" t="str">
        <x:v>P1</x:v>
      </x:c>
      <x:c r="K40" s="107" t="str">
        <x:v>D11-D14</x:v>
      </x:c>
      <x:c r="L40" s="107" t="str">
        <x:v>IT/Electron/生产</x:v>
      </x:c>
      <x:c r="M40" s="107" t="str">
        <x:v>未开始</x:v>
      </x:c>
      <x:c r="N40" s="108" t="str">
        <x:v>工位管理</x:v>
      </x:c>
      <x:c r="O40" s="108" t="str"/>
    </x:row>
    <x:row r="41" ht="57" customHeight="1">
      <x:c r="A41" s="106" t="n">
        <x:v>35</x:v>
      </x:c>
      <x:c r="B41" s="106" t="str">
        <x:v>❓ 待确认</x:v>
      </x:c>
      <x:c r="C41" s="106" t="str">
        <x:v>当前项目PC端</x:v>
      </x:c>
      <x:c r="D41" s="107" t="str">
        <x:v>备份与恢复</x:v>
      </x:c>
      <x:c r="E41" s="108" t="str">
        <x:v>数据库故障、服务器迁移或版本升级</x:v>
      </x:c>
      <x:c r="F41" s="108" t="str">
        <x:v>制定中心数据库自动备份、恢复步骤和定期恢复演练，并记录最近一次成功恢复时间。</x:v>
      </x:c>
      <x:c r="G41" s="108" t="str">
        <x:v>管理员能确认备份是否成功以及是否经过恢复验证。</x:v>
      </x:c>
      <x:c r="H41" s="108" t="str">
        <x:v>只有备份文件但未验证恢复不算完成。</x:v>
      </x:c>
      <x:c r="I41" s="107" t="str">
        <x:v>配合</x:v>
      </x:c>
      <x:c r="J41" s="107" t="str">
        <x:v>P1</x:v>
      </x:c>
      <x:c r="K41" s="107" t="str">
        <x:v>D11-D14</x:v>
      </x:c>
      <x:c r="L41" s="107" t="str">
        <x:v>IT/数据库管理员</x:v>
      </x:c>
      <x:c r="M41" s="107" t="str">
        <x:v>未开始</x:v>
      </x:c>
      <x:c r="N41" s="108" t="str">
        <x:v>备份恢复</x:v>
      </x:c>
      <x:c r="O41" s="108" t="str">
        <x:v>确认DBA或IT主责</x:v>
      </x:c>
    </x:row>
    <x:row r="42" ht="57" customHeight="1">
      <x:c r="A42" s="106" t="n">
        <x:v>36</x:v>
      </x:c>
      <x:c r="B42" s="106" t="str">
        <x:v>✅ 属于我</x:v>
      </x:c>
      <x:c r="C42" s="106" t="str">
        <x:v>共享接口</x:v>
      </x:c>
      <x:c r="D42" s="107" t="str">
        <x:v>统一业务词典</x:v>
      </x:c>
      <x:c r="E42" s="108" t="str">
        <x:v>Electron和PC端同时开发并交换数据</x:v>
      </x:c>
      <x:c r="F42" s="108" t="str">
        <x:v>统一SN、UID、run_id、Recipe、单位、错误码以及EOL/QA/仓库状态的含义和数据格式。</x:v>
      </x:c>
      <x:c r="G42" s="108" t="str">
        <x:v>两个系统看到同一个状态时含义完全一致，不再出现各叫各的PASS。</x:v>
      </x:c>
      <x:c r="H42" s="108" t="str">
        <x:v>公共定义只能维护一份，修改时需要版本升级和兼容检查。</x:v>
      </x:c>
      <x:c r="I42" s="107" t="str">
        <x:v>主责</x:v>
      </x:c>
      <x:c r="J42" s="107" t="str">
        <x:v>P0</x:v>
      </x:c>
      <x:c r="K42" s="107" t="str">
        <x:v>D1-D5</x:v>
      </x:c>
      <x:c r="L42" s="107" t="str">
        <x:v>小韩/QA/研发/仓库</x:v>
      </x:c>
      <x:c r="M42" s="107" t="str">
        <x:v>未开始</x:v>
      </x:c>
      <x:c r="N42" s="108" t="str">
        <x:v>公共契约</x:v>
      </x:c>
      <x:c r="O42" s="108" t="str"/>
    </x:row>
    <x:row r="43" ht="57" customHeight="1">
      <x:c r="A43" s="106" t="n">
        <x:v>37</x:v>
      </x:c>
      <x:c r="B43" s="106" t="str">
        <x:v>✅ 属于我</x:v>
      </x:c>
      <x:c r="C43" s="106" t="str">
        <x:v>共享接口</x:v>
      </x:c>
      <x:c r="D43" s="107" t="str">
        <x:v>同一套判定规则</x:v>
      </x:c>
      <x:c r="E43" s="108" t="str">
        <x:v>Electron现场判定，PC端复核完整性</x:v>
      </x:c>
      <x:c r="F43" s="108" t="str">
        <x:v>把Recipe计算、上下限比较、缺值处理和状态判定做成两个系统共同使用的版本化规则包。</x:v>
      </x:c>
      <x:c r="G43" s="108" t="str">
        <x:v>相同数据在Electron和PC端得到同一个EOL结论。</x:v>
      </x:c>
      <x:c r="H43" s="108" t="str">
        <x:v>不能让两个团队各写一套阈值判断；规则版本不一致时锁站。</x:v>
      </x:c>
      <x:c r="I43" s="107" t="str">
        <x:v>主责</x:v>
      </x:c>
      <x:c r="J43" s="107" t="str">
        <x:v>P0</x:v>
      </x:c>
      <x:c r="K43" s="107" t="str">
        <x:v>D1-D5</x:v>
      </x:c>
      <x:c r="L43" s="107" t="str">
        <x:v>QA/研发</x:v>
      </x:c>
      <x:c r="M43" s="107" t="str">
        <x:v>未开始</x:v>
      </x:c>
      <x:c r="N43" s="108" t="str">
        <x:v>共享判定引擎</x:v>
      </x:c>
      <x:c r="O43" s="108" t="str"/>
    </x:row>
    <x:row r="44" ht="57" customHeight="1">
      <x:c r="A44" s="106" t="n">
        <x:v>38</x:v>
      </x:c>
      <x:c r="B44" s="106" t="str">
        <x:v>✅ 属于我</x:v>
      </x:c>
      <x:c r="C44" s="106" t="str">
        <x:v>共享接口</x:v>
      </x:c>
      <x:c r="D44" s="107" t="str">
        <x:v>设备与故障模拟器</x:v>
      </x:c>
      <x:c r="E44" s="108" t="str">
        <x:v>真实设备数量不足或需要重复测试异常场景</x:v>
      </x:c>
      <x:c r="F44" s="108" t="str">
        <x:v>提供模拟设备和固定数据场景，覆盖正常通过、产品NG、掉线、半帧、旧帧、数据库失败、断网和重复上传。</x:v>
      </x:c>
      <x:c r="G44" s="108" t="str">
        <x:v>开发和测试人员可以稳定复现问题并自动回归。</x:v>
      </x:c>
      <x:c r="H44" s="108" t="str">
        <x:v>模拟器结果不能代替真实设备OQ，但必须作为开发验收门禁。</x:v>
      </x:c>
      <x:c r="I44" s="107" t="str">
        <x:v>主责</x:v>
      </x:c>
      <x:c r="J44" s="107" t="str">
        <x:v>P0</x:v>
      </x:c>
      <x:c r="K44" s="107" t="str">
        <x:v>D6-D10</x:v>
      </x:c>
      <x:c r="L44" s="107" t="str">
        <x:v>小韩/测试/QA</x:v>
      </x:c>
      <x:c r="M44" s="107" t="str">
        <x:v>未开始</x:v>
      </x:c>
      <x:c r="N44" s="108" t="str">
        <x:v>故障注入/自动化测试</x:v>
      </x:c>
      <x:c r="O44" s="108" t="str"/>
    </x:row>
    <x:row r="45" ht="57" customHeight="1">
      <x:c r="A45" s="106" t="n">
        <x:v>39</x:v>
      </x:c>
      <x:c r="B45" s="106" t="str">
        <x:v>❓ 待确认</x:v>
      </x:c>
      <x:c r="C45" s="106" t="str">
        <x:v>共享接口</x:v>
      </x:c>
      <x:c r="D45" s="107" t="str">
        <x:v>试运行与扩展门禁</x:v>
      </x:c>
      <x:c r="E45" s="108" t="str">
        <x:v>从1台工位逐步扩展到30台样本、100台平行和6+1工位</x:v>
      </x:c>
      <x:c r="F45" s="108" t="str">
        <x:v>记录试运行问题、实际单台节拍、NG率、重测能力、错误放行和故障恢复结果，达标后再扩大规模。</x:v>
      </x:c>
      <x:c r="G45" s="108" t="str">
        <x:v>每天有一张清晰的问题清单和放量结论，知道能否进入下一阶段。</x:v>
      </x:c>
      <x:c r="H45" s="108" t="str">
        <x:v>未达到错误放行0和稳定节拍前，不直接承诺2000台批量回检。</x:v>
      </x:c>
      <x:c r="I45" s="107" t="str">
        <x:v>配合</x:v>
      </x:c>
      <x:c r="J45" s="107" t="str">
        <x:v>P0</x:v>
      </x:c>
      <x:c r="K45" s="107" t="str">
        <x:v>D6-D14</x:v>
      </x:c>
      <x:c r="L45" s="107" t="str">
        <x:v>项目经理/QA/生产/工艺</x:v>
      </x:c>
      <x:c r="M45" s="107" t="str">
        <x:v>未开始</x:v>
      </x:c>
      <x:c r="N45" s="108" t="str">
        <x:v>试运行支持/批量回检</x:v>
      </x:c>
      <x:c r="O45" s="108" t="str">
        <x:v>确认试运行总负责人</x:v>
      </x:c>
    </x:row>
  </x:sheetData>
  <x:mergeCells>
    <x:mergeCell ref="A1:O1"/>
    <x:mergeCell ref="A2:O2"/>
    <x:mergeCell ref="A3:B3"/>
    <x:mergeCell ref="A4:B4"/>
    <x:mergeCell ref="C3:D3"/>
    <x:mergeCell ref="C4:D4"/>
    <x:mergeCell ref="E3:F3"/>
    <x:mergeCell ref="E4:F4"/>
    <x:mergeCell ref="G3:H3"/>
    <x:mergeCell ref="G4:H4"/>
    <x:mergeCell ref="I3:J3"/>
    <x:mergeCell ref="I4:J4"/>
    <x:mergeCell ref="K3:L3"/>
    <x:mergeCell ref="K4:L4"/>
    <x:mergeCell ref="M3:O3"/>
    <x:mergeCell ref="M4:O4"/>
  </x:mergeCells>
  <x:conditionalFormatting sqref="A7:O45">
    <x:cfRule type="expression" dxfId="0" priority="1">
      <x:formula>$B7="❌ 不属于我"</x:formula>
    </x:cfRule>
    <x:cfRule type="expression" dxfId="1" priority="2">
      <x:formula>$B7="❓ 待确认"</x:formula>
    </x:cfRule>
  </x:conditionalFormatting>
  <x:conditionalFormatting sqref="J7:J45">
    <x:cfRule type="containsText" dxfId="2" priority="3" operator="containsText" text="P0"/>
  </x:conditionalFormatting>
  <x:conditionalFormatting sqref="M7:M45">
    <x:cfRule type="containsText" dxfId="3" priority="4" operator="containsText" text="已完成"/>
  </x:conditionalFormatting>
  <x:conditionalFormatting sqref="C7:C45">
    <x:cfRule type="containsText" dxfId="4" priority="5" operator="containsText" text="Electron"/>
    <x:cfRule type="containsText" dxfId="5" priority="6" operator="containsText" text="PC端"/>
    <x:cfRule type="containsText" dxfId="6" priority="7" operator="containsText" text="共享接口"/>
  </x:conditionalFormatting>
  <x:dataValidations count="5">
    <x:dataValidation type="list" sqref="B7:B45">
      <x:formula1>"✅ 属于我,❌ 不属于我,❓ 待确认"</x:formula1>
    </x:dataValidation>
    <x:dataValidation type="list" sqref="I7:I45">
      <x:formula1>"主责,配合,不属于我"</x:formula1>
    </x:dataValidation>
    <x:dataValidation type="list" sqref="J7:J45">
      <x:formula1>"P0,P1,P2"</x:formula1>
    </x:dataValidation>
    <x:dataValidation type="list" sqref="K7:K45">
      <x:formula1>"D1-D5,D6-D10,D11-D14,D6-D14,持续"</x:formula1>
    </x:dataValidation>
    <x:dataValidation type="list" sqref="M7:M45">
      <x:formula1>"未开始,进行中,已完成,已阻塞,不适用"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a5a38dd3eb481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2.5" hidden="0" customWidth="1"/>
    <x:col min="4" max="4" width="9" hidden="0" customWidth="1"/>
    <x:col min="5" max="5" width="13" hidden="0" customWidth="1"/>
    <x:col min="6" max="6" width="7.75" hidden="0" customWidth="1"/>
    <x:col min="7" max="7" width="10.25" hidden="0" customWidth="1"/>
    <x:col min="8" max="8" width="37.5" hidden="0" customWidth="1"/>
    <x:col min="9" max="9" width="20" hidden="0" customWidth="1"/>
    <x:col min="10" max="10" width="22.5" hidden="0" customWidth="1"/>
    <x:col min="11" max="11" width="32.5" hidden="0" customWidth="1"/>
    <x:col min="12" max="12" width="11" hidden="0" customWidth="1"/>
    <x:col min="13" max="13" width="23.75" hidden="0" customWidth="1"/>
  </x:cols>
  <x:sheetData>
    <x:row r="1" ht="31.5" customHeight="1">
      <x:c r="A1" s="3" t="str">
        <x:v>佳伟个人任务确认清单｜Electron桌面端 + 当前项目PC端</x:v>
      </x:c>
      <x:c r="B1" s="3" t="str">
        <x:v>佳伟个人任务确认清单｜Electron桌面端 + 当前项目PC端</x:v>
      </x:c>
      <x:c r="C1" s="3" t="str">
        <x:v>佳伟个人任务确认清单｜Electron桌面端 + 当前项目PC端</x:v>
      </x:c>
      <x:c r="D1" s="3" t="str">
        <x:v>佳伟个人任务确认清单｜Electron桌面端 + 当前项目PC端</x:v>
      </x:c>
      <x:c r="E1" s="3" t="str">
        <x:v>佳伟个人任务确认清单｜Electron桌面端 + 当前项目PC端</x:v>
      </x:c>
      <x:c r="F1" s="3" t="str">
        <x:v>佳伟个人任务确认清单｜Electron桌面端 + 当前项目PC端</x:v>
      </x:c>
      <x:c r="G1" s="3" t="str">
        <x:v>佳伟个人任务确认清单｜Electron桌面端 + 当前项目PC端</x:v>
      </x:c>
      <x:c r="H1" s="3" t="str">
        <x:v>佳伟个人任务确认清单｜Electron桌面端 + 当前项目PC端</x:v>
      </x:c>
      <x:c r="I1" s="3" t="str">
        <x:v>佳伟个人任务确认清单｜Electron桌面端 + 当前项目PC端</x:v>
      </x:c>
      <x:c r="J1" s="3" t="str">
        <x:v>佳伟个人任务确认清单｜Electron桌面端 + 当前项目PC端</x:v>
      </x:c>
      <x:c r="K1" s="3" t="str">
        <x:v>佳伟个人任务确认清单｜Electron桌面端 + 当前项目PC端</x:v>
      </x:c>
      <x:c r="L1" s="3" t="str">
        <x:v>佳伟个人任务确认清单｜Electron桌面端 + 当前项目PC端</x:v>
      </x:c>
      <x:c r="M1" s="3" t="str">
        <x:v>佳伟个人任务确认清单｜Electron桌面端 + 当前项目PC端</x:v>
      </x:c>
    </x:row>
    <x:row r="2" ht="25.5" customHeight="1">
      <x:c r="A2" s="7" t="str">
        <x:v>使用方法：在“归属确认”列选择 ✅属于我 / ❌不属于我 / ❓待确认；选择❌后整行自动变灰。再用筛选器只查看自己的任务。</x:v>
      </x:c>
      <x:c r="B2" s="7" t="str">
        <x:v>使用方法：在“归属确认”列选择 ✅属于我 / ❌不属于我 / ❓待确认；选择❌后整行自动变灰。再用筛选器只查看自己的任务。</x:v>
      </x:c>
      <x:c r="C2" s="7" t="str">
        <x:v>使用方法：在“归属确认”列选择 ✅属于我 / ❌不属于我 / ❓待确认；选择❌后整行自动变灰。再用筛选器只查看自己的任务。</x:v>
      </x:c>
      <x:c r="D2" s="7" t="str">
        <x:v>使用方法：在“归属确认”列选择 ✅属于我 / ❌不属于我 / ❓待确认；选择❌后整行自动变灰。再用筛选器只查看自己的任务。</x:v>
      </x:c>
      <x:c r="E2" s="7" t="str">
        <x:v>使用方法：在“归属确认”列选择 ✅属于我 / ❌不属于我 / ❓待确认；选择❌后整行自动变灰。再用筛选器只查看自己的任务。</x:v>
      </x:c>
      <x:c r="F2" s="7" t="str">
        <x:v>使用方法：在“归属确认”列选择 ✅属于我 / ❌不属于我 / ❓待确认；选择❌后整行自动变灰。再用筛选器只查看自己的任务。</x:v>
      </x:c>
      <x:c r="G2" s="7" t="str">
        <x:v>使用方法：在“归属确认”列选择 ✅属于我 / ❌不属于我 / ❓待确认；选择❌后整行自动变灰。再用筛选器只查看自己的任务。</x:v>
      </x:c>
      <x:c r="H2" s="7" t="str">
        <x:v>使用方法：在“归属确认”列选择 ✅属于我 / ❌不属于我 / ❓待确认；选择❌后整行自动变灰。再用筛选器只查看自己的任务。</x:v>
      </x:c>
      <x:c r="I2" s="7" t="str">
        <x:v>使用方法：在“归属确认”列选择 ✅属于我 / ❌不属于我 / ❓待确认；选择❌后整行自动变灰。再用筛选器只查看自己的任务。</x:v>
      </x:c>
      <x:c r="J2" s="7" t="str">
        <x:v>使用方法：在“归属确认”列选择 ✅属于我 / ❌不属于我 / ❓待确认；选择❌后整行自动变灰。再用筛选器只查看自己的任务。</x:v>
      </x:c>
      <x:c r="K2" s="7" t="str">
        <x:v>使用方法：在“归属确认”列选择 ✅属于我 / ❌不属于我 / ❓待确认；选择❌后整行自动变灰。再用筛选器只查看自己的任务。</x:v>
      </x:c>
      <x:c r="L2" s="7" t="str">
        <x:v>使用方法：在“归属确认”列选择 ✅属于我 / ❌不属于我 / ❓待确认；选择❌后整行自动变灰。再用筛选器只查看自己的任务。</x:v>
      </x:c>
      <x:c r="M2" s="7" t="str">
        <x:v>使用方法：在“归属确认”列选择 ✅属于我 / ❌不属于我 / ❓待确认；选择❌后整行自动变灰。再用筛选器只查看自己的任务。</x:v>
      </x:c>
    </x:row>
    <x:row r="3">
      <x:c r="A3" s="14" t="str">
        <x:v>候选任务总数</x:v>
      </x:c>
      <x:c r="B3" s="15" t="str">
        <x:v>候选任务总数</x:v>
      </x:c>
      <x:c r="C3" s="29" t="str">
        <x:v>✅ 属于我</x:v>
      </x:c>
      <x:c r="D3" s="30" t="str">
        <x:v>✅ 属于我</x:v>
      </x:c>
      <x:c r="E3" s="43" t="str">
        <x:v>❌ 不属于我</x:v>
      </x:c>
      <x:c r="F3" s="44" t="str">
        <x:v>❌ 不属于我</x:v>
      </x:c>
      <x:c r="G3" s="57" t="str">
        <x:v>❓ 待确认</x:v>
      </x:c>
      <x:c r="H3" s="58" t="str">
        <x:v>❓ 待确认</x:v>
      </x:c>
      <x:c r="I3" s="71" t="str">
        <x:v>已完成</x:v>
      </x:c>
      <x:c r="J3" s="72" t="str">
        <x:v>已完成</x:v>
      </x:c>
      <x:c r="K3" s="87" t="str">
        <x:v>我的主责任务</x:v>
      </x:c>
      <x:c r="L3" s="88" t="str">
        <x:v>我的主责任务</x:v>
      </x:c>
      <x:c r="M3" s="89" t="str">
        <x:v>我的主责任务</x:v>
      </x:c>
    </x:row>
    <x:row r="4">
      <x:c r="A4" s="22" t="n">
        <x:f>COUNTA($A$7:$A$78)</x:f>
        <x:v>72</x:v>
      </x:c>
      <x:c r="B4" s="23"/>
      <x:c r="C4" s="36" t="n">
        <x:f>COUNTIF($E$7:$E$78,"✅ 属于我")</x:f>
        <x:v>66</x:v>
      </x:c>
      <x:c r="D4" s="37"/>
      <x:c r="E4" s="50" t="n">
        <x:f>COUNTIF($E$7:$E$78,"❌ 不属于我")</x:f>
        <x:v>0</x:v>
      </x:c>
      <x:c r="F4" s="51"/>
      <x:c r="G4" s="64" t="n">
        <x:f>COUNTIF($E$7:$E$78,"❓ 待确认")</x:f>
        <x:v>6</x:v>
      </x:c>
      <x:c r="H4" s="65"/>
      <x:c r="I4" s="78" t="n">
        <x:f>COUNTIF($L$7:$L$78,"已完成")</x:f>
        <x:v>0</x:v>
      </x:c>
      <x:c r="J4" s="79"/>
      <x:c r="K4" s="97" t="n">
        <x:f>COUNTIFS($E$7:$E$78,"✅ 属于我",$D$7:$D$78,"主责")</x:f>
        <x:v>66</x:v>
      </x:c>
      <x:c r="L4" s="98"/>
      <x:c r="M4" s="99"/>
    </x:row>
    <x:row r="6">
      <x:c r="A6" s="105" t="str">
        <x:v>序号</x:v>
      </x:c>
      <x:c r="B6" s="105" t="str">
        <x:v>系统归属</x:v>
      </x:c>
      <x:c r="C6" s="105" t="str">
        <x:v>模块</x:v>
      </x:c>
      <x:c r="D6" s="105" t="str">
        <x:v>建议角色</x:v>
      </x:c>
      <x:c r="E6" s="105" t="str">
        <x:v>归属确认</x:v>
      </x:c>
      <x:c r="F6" s="105" t="str">
        <x:v>优先级</x:v>
      </x:c>
      <x:c r="G6" s="105" t="str">
        <x:v>阶段</x:v>
      </x:c>
      <x:c r="H6" s="105" t="str">
        <x:v>任务事项</x:v>
      </x:c>
      <x:c r="I6" s="105" t="str">
        <x:v>协作/依赖</x:v>
      </x:c>
      <x:c r="J6" s="105" t="str">
        <x:v>交付物</x:v>
      </x:c>
      <x:c r="K6" s="105" t="str">
        <x:v>验收口径</x:v>
      </x:c>
      <x:c r="L6" s="105" t="str">
        <x:v>进度状态</x:v>
      </x:c>
      <x:c r="M6" s="105" t="str">
        <x:v>备注</x:v>
      </x:c>
    </x:row>
    <x:row r="7" ht="31.5" customHeight="1">
      <x:c r="A7" s="106" t="n">
        <x:v>1</x:v>
      </x:c>
      <x:c r="B7" s="106" t="str">
        <x:v>Electron桌面端</x:v>
      </x:c>
      <x:c r="C7" s="106" t="str">
        <x:v>总体架构</x:v>
      </x:c>
      <x:c r="D7" s="106" t="str">
        <x:v>主责</x:v>
      </x:c>
      <x:c r="E7" s="106" t="str">
        <x:v>✅ 属于我</x:v>
      </x:c>
      <x:c r="F7" s="106" t="str">
        <x:v>P0</x:v>
      </x:c>
      <x:c r="G7" s="106" t="str">
        <x:v>D1-D5</x:v>
      </x:c>
      <x:c r="H7" s="108" t="str">
        <x:v>冻结 Electron 主进程、Preload、渲染进程和后台任务的安全边界</x:v>
      </x:c>
      <x:c r="I7" s="108" t="str">
        <x:v>产品/嵌入式</x:v>
      </x:c>
      <x:c r="J7" s="108" t="str">
        <x:v>桌面端架构说明</x:v>
      </x:c>
      <x:c r="K7" s="108" t="str">
        <x:v>页面不能直接访问 USB、串口或 SQLite</x:v>
      </x:c>
      <x:c r="L7" s="108" t="str">
        <x:v>未开始</x:v>
      </x:c>
      <x:c r="M7" s="108" t="str"/>
    </x:row>
    <x:row r="8" ht="31.5" customHeight="1">
      <x:c r="A8" s="106" t="n">
        <x:v>2</x:v>
      </x:c>
      <x:c r="B8" s="106" t="str">
        <x:v>Electron桌面端</x:v>
      </x:c>
      <x:c r="C8" s="106" t="str">
        <x:v>安全基线</x:v>
      </x:c>
      <x:c r="D8" s="106" t="str">
        <x:v>主责</x:v>
      </x:c>
      <x:c r="E8" s="106" t="str">
        <x:v>✅ 属于我</x:v>
      </x:c>
      <x:c r="F8" s="106" t="str">
        <x:v>P0</x:v>
      </x:c>
      <x:c r="G8" s="106" t="str">
        <x:v>D1-D5</x:v>
      </x:c>
      <x:c r="H8" s="108" t="str">
        <x:v>配置contextIsolation、sandbox、CSP和导航白名单</x:v>
      </x:c>
      <x:c r="I8" s="108" t="str">
        <x:v>安全/架构</x:v>
      </x:c>
      <x:c r="J8" s="108" t="str">
        <x:v>Electron安全配置</x:v>
      </x:c>
      <x:c r="K8" s="108" t="str">
        <x:v>渲染页面无法直接访问系统能力或任意外链</x:v>
      </x:c>
      <x:c r="L8" s="108" t="str">
        <x:v>未开始</x:v>
      </x:c>
      <x:c r="M8" s="108" t="str"/>
    </x:row>
    <x:row r="9" ht="31.5" customHeight="1">
      <x:c r="A9" s="106" t="n">
        <x:v>3</x:v>
      </x:c>
      <x:c r="B9" s="106" t="str">
        <x:v>Electron桌面端</x:v>
      </x:c>
      <x:c r="C9" s="106" t="str">
        <x:v>IPC契约</x:v>
      </x:c>
      <x:c r="D9" s="106" t="str">
        <x:v>主责</x:v>
      </x:c>
      <x:c r="E9" s="106" t="str">
        <x:v>✅ 属于我</x:v>
      </x:c>
      <x:c r="F9" s="106" t="str">
        <x:v>P0</x:v>
      </x:c>
      <x:c r="G9" s="106" t="str">
        <x:v>D1-D5</x:v>
      </x:c>
      <x:c r="H9" s="108" t="str">
        <x:v>通过contextBridge暴露最小化、类型化的工位命令与snapshot接口</x:v>
      </x:c>
      <x:c r="I9" s="108" t="str">
        <x:v>共享契约/后台服务</x:v>
      </x:c>
      <x:c r="J9" s="108" t="str">
        <x:v>类型化IPC接口</x:v>
      </x:c>
      <x:c r="K9" s="108" t="str">
        <x:v>Preload不暴露通用文件、Shell或进程执行能力</x:v>
      </x:c>
      <x:c r="L9" s="108" t="str">
        <x:v>未开始</x:v>
      </x:c>
      <x:c r="M9" s="108" t="str"/>
    </x:row>
    <x:row r="10" ht="31.5" customHeight="1">
      <x:c r="A10" s="106" t="n">
        <x:v>4</x:v>
      </x:c>
      <x:c r="B10" s="106" t="str">
        <x:v>Electron桌面端</x:v>
      </x:c>
      <x:c r="C10" s="106" t="str">
        <x:v>应用实例</x:v>
      </x:c>
      <x:c r="D10" s="106" t="str">
        <x:v>主责</x:v>
      </x:c>
      <x:c r="E10" s="106" t="str">
        <x:v>✅ 属于我</x:v>
      </x:c>
      <x:c r="F10" s="106" t="str">
        <x:v>P1</x:v>
      </x:c>
      <x:c r="G10" s="106" t="str">
        <x:v>D1-D5</x:v>
      </x:c>
      <x:c r="H10" s="108" t="str">
        <x:v>实现Electron单实例和重复启动聚焦</x:v>
      </x:c>
      <x:c r="I10" s="108" t="str">
        <x:v>Windows环境</x:v>
      </x:c>
      <x:c r="J10" s="108" t="str">
        <x:v>单实例控制</x:v>
      </x:c>
      <x:c r="K10" s="108" t="str">
        <x:v>重复启动不会产生两个可操作的检测会话</x:v>
      </x:c>
      <x:c r="L10" s="108" t="str">
        <x:v>未开始</x:v>
      </x:c>
      <x:c r="M10" s="108" t="str"/>
    </x:row>
    <x:row r="11" ht="31.5" customHeight="1">
      <x:c r="A11" s="106" t="n">
        <x:v>5</x:v>
      </x:c>
      <x:c r="B11" s="106" t="str">
        <x:v>Electron桌面端</x:v>
      </x:c>
      <x:c r="C11" s="106" t="str">
        <x:v>设备通信</x:v>
      </x:c>
      <x:c r="D11" s="106" t="str">
        <x:v>主责</x:v>
      </x:c>
      <x:c r="E11" s="106" t="str">
        <x:v>✅ 属于我</x:v>
      </x:c>
      <x:c r="F11" s="106" t="str">
        <x:v>P0</x:v>
      </x:c>
      <x:c r="G11" s="106" t="str">
        <x:v>D1-D5</x:v>
      </x:c>
      <x:c r="H11" s="108" t="str">
        <x:v>实现 USB 设备自动发现，不依赖 COM 口号</x:v>
      </x:c>
      <x:c r="I11" s="108" t="str">
        <x:v>小韩/设备样机</x:v>
      </x:c>
      <x:c r="J11" s="108" t="str">
        <x:v>设备发现模块</x:v>
      </x:c>
      <x:c r="K11" s="108" t="str">
        <x:v>插拔后能在目标时间内识别正确设备</x:v>
      </x:c>
      <x:c r="L11" s="108" t="str">
        <x:v>未开始</x:v>
      </x:c>
      <x:c r="M11" s="108" t="str"/>
    </x:row>
    <x:row r="12" ht="31.5" customHeight="1">
      <x:c r="A12" s="106" t="n">
        <x:v>6</x:v>
      </x:c>
      <x:c r="B12" s="106" t="str">
        <x:v>Electron桌面端</x:v>
      </x:c>
      <x:c r="C12" s="106" t="str">
        <x:v>设备通信</x:v>
      </x:c>
      <x:c r="D12" s="106" t="str">
        <x:v>主责</x:v>
      </x:c>
      <x:c r="E12" s="106" t="str">
        <x:v>✅ 属于我</x:v>
      </x:c>
      <x:c r="F12" s="106" t="str">
        <x:v>P0</x:v>
      </x:c>
      <x:c r="G12" s="106" t="str">
        <x:v>D1-D5</x:v>
      </x:c>
      <x:c r="H12" s="108" t="str">
        <x:v>使用 VID/PID、完整 USB Serial 和 MCU UID 确认设备身份</x:v>
      </x:c>
      <x:c r="I12" s="108" t="str">
        <x:v>小韩/协议字段</x:v>
      </x:c>
      <x:c r="J12" s="108" t="str">
        <x:v>设备身份模型</x:v>
      </x:c>
      <x:c r="K12" s="108" t="str">
        <x:v>不使用可变化的 COM 号作为唯一身份</x:v>
      </x:c>
      <x:c r="L12" s="108" t="str">
        <x:v>未开始</x:v>
      </x:c>
      <x:c r="M12" s="108" t="str"/>
    </x:row>
    <x:row r="13" ht="31.5" customHeight="1">
      <x:c r="A13" s="106" t="n">
        <x:v>7</x:v>
      </x:c>
      <x:c r="B13" s="106" t="str">
        <x:v>Electron桌面端</x:v>
      </x:c>
      <x:c r="C13" s="106" t="str">
        <x:v>设备通信</x:v>
      </x:c>
      <x:c r="D13" s="106" t="str">
        <x:v>主责</x:v>
      </x:c>
      <x:c r="E13" s="106" t="str">
        <x:v>✅ 属于我</x:v>
      </x:c>
      <x:c r="F13" s="106" t="str">
        <x:v>P0</x:v>
      </x:c>
      <x:c r="G13" s="106" t="str">
        <x:v>D1-D5</x:v>
      </x:c>
      <x:c r="H13" s="108" t="str">
        <x:v>实现进程级设备独占和多程序抢占保护</x:v>
      </x:c>
      <x:c r="I13" s="108" t="str">
        <x:v>IT/现场工具</x:v>
      </x:c>
      <x:c r="J13" s="108" t="str">
        <x:v>设备互斥模块</x:v>
      </x:c>
      <x:c r="K13" s="108" t="str">
        <x:v>同一设备不能被两个检测会话同时占用</x:v>
      </x:c>
      <x:c r="L13" s="108" t="str">
        <x:v>未开始</x:v>
      </x:c>
      <x:c r="M13" s="108" t="str"/>
    </x:row>
    <x:row r="14" ht="31.5" customHeight="1">
      <x:c r="A14" s="106" t="n">
        <x:v>8</x:v>
      </x:c>
      <x:c r="B14" s="106" t="str">
        <x:v>Electron桌面端</x:v>
      </x:c>
      <x:c r="C14" s="106" t="str">
        <x:v>通信协议</x:v>
      </x:c>
      <x:c r="D14" s="106" t="str">
        <x:v>主责</x:v>
      </x:c>
      <x:c r="E14" s="106" t="str">
        <x:v>✅ 属于我</x:v>
      </x:c>
      <x:c r="F14" s="106" t="str">
        <x:v>P0</x:v>
      </x:c>
      <x:c r="G14" s="106" t="str">
        <x:v>D1-D5</x:v>
      </x:c>
      <x:c r="H14" s="108" t="str">
        <x:v>实现握手、协议编解码和 CRC 校验</x:v>
      </x:c>
      <x:c r="I14" s="108" t="str">
        <x:v>小韩/协议文档</x:v>
      </x:c>
      <x:c r="J14" s="108" t="str">
        <x:v>协议适配器</x:v>
      </x:c>
      <x:c r="K14" s="108" t="str">
        <x:v>正常帧可解析，CRC 错误帧不可进入判定</x:v>
      </x:c>
      <x:c r="L14" s="108" t="str">
        <x:v>未开始</x:v>
      </x:c>
      <x:c r="M14" s="108" t="str"/>
    </x:row>
    <x:row r="15" ht="31.5" customHeight="1">
      <x:c r="A15" s="106" t="n">
        <x:v>9</x:v>
      </x:c>
      <x:c r="B15" s="106" t="str">
        <x:v>Electron桌面端</x:v>
      </x:c>
      <x:c r="C15" s="106" t="str">
        <x:v>通信协议</x:v>
      </x:c>
      <x:c r="D15" s="106" t="str">
        <x:v>主责</x:v>
      </x:c>
      <x:c r="E15" s="106" t="str">
        <x:v>✅ 属于我</x:v>
      </x:c>
      <x:c r="F15" s="106" t="str">
        <x:v>P0</x:v>
      </x:c>
      <x:c r="G15" s="106" t="str">
        <x:v>D1-D5</x:v>
      </x:c>
      <x:c r="H15" s="108" t="str">
        <x:v>处理粘包、半帧、重复帧、乱序帧和旧帧</x:v>
      </x:c>
      <x:c r="I15" s="108" t="str">
        <x:v>小韩/测试样机</x:v>
      </x:c>
      <x:c r="J15" s="108" t="str">
        <x:v>流式解帧器</x:v>
      </x:c>
      <x:c r="K15" s="108" t="str">
        <x:v>故障注入下不串帧、不误判</x:v>
      </x:c>
      <x:c r="L15" s="108" t="str">
        <x:v>未开始</x:v>
      </x:c>
      <x:c r="M15" s="108" t="str"/>
    </x:row>
    <x:row r="16" ht="31.5" customHeight="1">
      <x:c r="A16" s="106" t="n">
        <x:v>10</x:v>
      </x:c>
      <x:c r="B16" s="106" t="str">
        <x:v>Electron桌面端</x:v>
      </x:c>
      <x:c r="C16" s="106" t="str">
        <x:v>通信协议</x:v>
      </x:c>
      <x:c r="D16" s="106" t="str">
        <x:v>主责</x:v>
      </x:c>
      <x:c r="E16" s="106" t="str">
        <x:v>✅ 属于我</x:v>
      </x:c>
      <x:c r="F16" s="106" t="str">
        <x:v>P0</x:v>
      </x:c>
      <x:c r="G16" s="106" t="str">
        <x:v>D1-D5</x:v>
      </x:c>
      <x:c r="H16" s="108" t="str">
        <x:v>实现 Session、Sequence、BootID 和会话隔离</x:v>
      </x:c>
      <x:c r="I16" s="108" t="str">
        <x:v>小韩/固件配合</x:v>
      </x:c>
      <x:c r="J16" s="108" t="str">
        <x:v>会话状态机</x:v>
      </x:c>
      <x:c r="K16" s="108" t="str">
        <x:v>设备重启或旧会话数据不会污染当前结果</x:v>
      </x:c>
      <x:c r="L16" s="108" t="str">
        <x:v>未开始</x:v>
      </x:c>
      <x:c r="M16" s="108" t="str"/>
    </x:row>
    <x:row r="17" ht="31.5" customHeight="1">
      <x:c r="A17" s="106" t="n">
        <x:v>11</x:v>
      </x:c>
      <x:c r="B17" s="106" t="str">
        <x:v>Electron桌面端</x:v>
      </x:c>
      <x:c r="C17" s="106" t="str">
        <x:v>通信协议</x:v>
      </x:c>
      <x:c r="D17" s="106" t="str">
        <x:v>主责</x:v>
      </x:c>
      <x:c r="E17" s="106" t="str">
        <x:v>✅ 属于我</x:v>
      </x:c>
      <x:c r="F17" s="106" t="str">
        <x:v>P0</x:v>
      </x:c>
      <x:c r="G17" s="106" t="str">
        <x:v>D1-D5</x:v>
      </x:c>
      <x:c r="H17" s="108" t="str">
        <x:v>实现超时、重试、断线重连和退避策略</x:v>
      </x:c>
      <x:c r="I17" s="108" t="str">
        <x:v>小韩/现场网络</x:v>
      </x:c>
      <x:c r="J17" s="108" t="str">
        <x:v>通信恢复策略</x:v>
      </x:c>
      <x:c r="K17" s="108" t="str">
        <x:v>异常可恢复；不可恢复时进入系统阻断</x:v>
      </x:c>
      <x:c r="L17" s="108" t="str">
        <x:v>未开始</x:v>
      </x:c>
      <x:c r="M17" s="108" t="str"/>
    </x:row>
    <x:row r="18" ht="31.5" customHeight="1">
      <x:c r="A18" s="106" t="n">
        <x:v>12</x:v>
      </x:c>
      <x:c r="B18" s="106" t="str">
        <x:v>Electron桌面端</x:v>
      </x:c>
      <x:c r="C18" s="106" t="str">
        <x:v>数据校验</x:v>
      </x:c>
      <x:c r="D18" s="106" t="str">
        <x:v>主责</x:v>
      </x:c>
      <x:c r="E18" s="106" t="str">
        <x:v>✅ 属于我</x:v>
      </x:c>
      <x:c r="F18" s="106" t="str">
        <x:v>P0</x:v>
      </x:c>
      <x:c r="G18" s="106" t="str">
        <x:v>D1-D5</x:v>
      </x:c>
      <x:c r="H18" s="108" t="str">
        <x:v>校验字段类型、范围、单位、Quality 和 Error Code</x:v>
      </x:c>
      <x:c r="I18" s="108" t="str">
        <x:v>小韩/QA/研发</x:v>
      </x:c>
      <x:c r="J18" s="108" t="str">
        <x:v>字段校验器</x:v>
      </x:c>
      <x:c r="K18" s="108" t="str">
        <x:v>字段缺失或质量异常时禁止 EOL_PASS</x:v>
      </x:c>
      <x:c r="L18" s="108" t="str">
        <x:v>未开始</x:v>
      </x:c>
      <x:c r="M18" s="108" t="str"/>
    </x:row>
    <x:row r="19" ht="31.5" customHeight="1">
      <x:c r="A19" s="106" t="n">
        <x:v>13</x:v>
      </x:c>
      <x:c r="B19" s="106" t="str">
        <x:v>Electron桌面端</x:v>
      </x:c>
      <x:c r="C19" s="106" t="str">
        <x:v>防串机</x:v>
      </x:c>
      <x:c r="D19" s="106" t="str">
        <x:v>主责</x:v>
      </x:c>
      <x:c r="E19" s="106" t="str">
        <x:v>✅ 属于我</x:v>
      </x:c>
      <x:c r="F19" s="106" t="str">
        <x:v>P0</x:v>
      </x:c>
      <x:c r="G19" s="106" t="str">
        <x:v>D1-D5</x:v>
      </x:c>
      <x:c r="H19" s="108" t="str">
        <x:v>扫码后核对 SN、UID、工单和实际连接设备</x:v>
      </x:c>
      <x:c r="I19" s="108" t="str">
        <x:v>生产/PC端接口</x:v>
      </x:c>
      <x:c r="J19" s="108" t="str">
        <x:v>身份核对流程</x:v>
      </x:c>
      <x:c r="K19" s="108" t="str">
        <x:v>扫 A 机检测 B 机的情况必须被拦截</x:v>
      </x:c>
      <x:c r="L19" s="108" t="str">
        <x:v>未开始</x:v>
      </x:c>
      <x:c r="M19" s="108" t="str"/>
    </x:row>
    <x:row r="20" ht="31.5" customHeight="1">
      <x:c r="A20" s="106" t="n">
        <x:v>14</x:v>
      </x:c>
      <x:c r="B20" s="106" t="str">
        <x:v>Electron桌面端</x:v>
      </x:c>
      <x:c r="C20" s="106" t="str">
        <x:v>防串机</x:v>
      </x:c>
      <x:c r="D20" s="106" t="str">
        <x:v>主责</x:v>
      </x:c>
      <x:c r="E20" s="106" t="str">
        <x:v>✅ 属于我</x:v>
      </x:c>
      <x:c r="F20" s="106" t="str">
        <x:v>P0</x:v>
      </x:c>
      <x:c r="G20" s="106" t="str">
        <x:v>D1-D5</x:v>
      </x:c>
      <x:c r="H20" s="108" t="str">
        <x:v>检测过程中持续锁定设备身份，并在最终提交前复核 UID</x:v>
      </x:c>
      <x:c r="I20" s="108" t="str">
        <x:v>小韩/设备样机</x:v>
      </x:c>
      <x:c r="J20" s="108" t="str">
        <x:v>身份锁定机制</x:v>
      </x:c>
      <x:c r="K20" s="108" t="str">
        <x:v>检测中换机、重启或 UID 变化会使会话失效</x:v>
      </x:c>
      <x:c r="L20" s="108" t="str">
        <x:v>未开始</x:v>
      </x:c>
      <x:c r="M20" s="108" t="str"/>
    </x:row>
    <x:row r="21" ht="31.5" customHeight="1">
      <x:c r="A21" s="106" t="n">
        <x:v>15</x:v>
      </x:c>
      <x:c r="B21" s="106" t="str">
        <x:v>Electron桌面端</x:v>
      </x:c>
      <x:c r="C21" s="106" t="str">
        <x:v>版本匹配</x:v>
      </x:c>
      <x:c r="D21" s="106" t="str">
        <x:v>主责</x:v>
      </x:c>
      <x:c r="E21" s="106" t="str">
        <x:v>✅ 属于我</x:v>
      </x:c>
      <x:c r="F21" s="106" t="str">
        <x:v>P0</x:v>
      </x:c>
      <x:c r="G21" s="106" t="str">
        <x:v>D1-D5</x:v>
      </x:c>
      <x:c r="H21" s="108" t="str">
        <x:v>核对工单、机型、市场、硬件、固件、Bootloader 和参数包</x:v>
      </x:c>
      <x:c r="I21" s="108" t="str">
        <x:v>PC端配置/QA研发</x:v>
      </x:c>
      <x:c r="J21" s="108" t="str">
        <x:v>版本指纹校验</x:v>
      </x:c>
      <x:c r="K21" s="108" t="str">
        <x:v>任一关键版本不匹配时不可开测或放行</x:v>
      </x:c>
      <x:c r="L21" s="108" t="str">
        <x:v>未开始</x:v>
      </x:c>
      <x:c r="M21" s="108" t="str"/>
    </x:row>
    <x:row r="22" ht="31.5" customHeight="1">
      <x:c r="A22" s="106" t="n">
        <x:v>16</x:v>
      </x:c>
      <x:c r="B22" s="106" t="str">
        <x:v>Electron桌面端</x:v>
      </x:c>
      <x:c r="C22" s="106" t="str">
        <x:v>测试会话</x:v>
      </x:c>
      <x:c r="D22" s="106" t="str">
        <x:v>主责</x:v>
      </x:c>
      <x:c r="E22" s="106" t="str">
        <x:v>✅ 属于我</x:v>
      </x:c>
      <x:c r="F22" s="106" t="str">
        <x:v>P0</x:v>
      </x:c>
      <x:c r="G22" s="106" t="str">
        <x:v>D1-D5</x:v>
      </x:c>
      <x:c r="H22" s="108" t="str">
        <x:v>建立 run_id 和完整测试运行生命周期</x:v>
      </x:c>
      <x:c r="I22" s="108" t="str">
        <x:v>PC端数据契约</x:v>
      </x:c>
      <x:c r="J22" s="108" t="str">
        <x:v>测试状态机</x:v>
      </x:c>
      <x:c r="K22" s="108" t="str">
        <x:v>每次重测产生新 run_id，旧记录不可覆盖</x:v>
      </x:c>
      <x:c r="L22" s="108" t="str">
        <x:v>未开始</x:v>
      </x:c>
      <x:c r="M22" s="108" t="str"/>
    </x:row>
    <x:row r="23" ht="31.5" customHeight="1">
      <x:c r="A23" s="106" t="n">
        <x:v>17</x:v>
      </x:c>
      <x:c r="B23" s="106" t="str">
        <x:v>Electron桌面端</x:v>
      </x:c>
      <x:c r="C23" s="106" t="str">
        <x:v>Recipe执行</x:v>
      </x:c>
      <x:c r="D23" s="106" t="str">
        <x:v>主责</x:v>
      </x:c>
      <x:c r="E23" s="106" t="str">
        <x:v>✅ 属于我</x:v>
      </x:c>
      <x:c r="F23" s="106" t="str">
        <x:v>P0</x:v>
      </x:c>
      <x:c r="G23" s="106" t="str">
        <x:v>D1-D5</x:v>
      </x:c>
      <x:c r="H23" s="108" t="str">
        <x:v>下载、缓存并校验已批准 Recipe 的版本、Hash 和签名</x:v>
      </x:c>
      <x:c r="I23" s="108" t="str">
        <x:v>PC端Recipe发布</x:v>
      </x:c>
      <x:c r="J23" s="108" t="str">
        <x:v>Recipe本地缓存</x:v>
      </x:c>
      <x:c r="K23" s="108" t="str">
        <x:v>未批准、Hash错误或过期Recipe不可执行</x:v>
      </x:c>
      <x:c r="L23" s="108" t="str">
        <x:v>未开始</x:v>
      </x:c>
      <x:c r="M23" s="108" t="str"/>
    </x:row>
    <x:row r="24" ht="31.5" customHeight="1">
      <x:c r="A24" s="106" t="n">
        <x:v>18</x:v>
      </x:c>
      <x:c r="B24" s="106" t="str">
        <x:v>Electron桌面端</x:v>
      </x:c>
      <x:c r="C24" s="106" t="str">
        <x:v>Recipe执行</x:v>
      </x:c>
      <x:c r="D24" s="106" t="str">
        <x:v>主责</x:v>
      </x:c>
      <x:c r="E24" s="106" t="str">
        <x:v>✅ 属于我</x:v>
      </x:c>
      <x:c r="F24" s="106" t="str">
        <x:v>P0</x:v>
      </x:c>
      <x:c r="G24" s="106" t="str">
        <x:v>D1-D5</x:v>
      </x:c>
      <x:c r="H24" s="108" t="str">
        <x:v>按照工单和完整版本指纹自动匹配 Recipe</x:v>
      </x:c>
      <x:c r="I24" s="108" t="str">
        <x:v>QA研发/PC端规则</x:v>
      </x:c>
      <x:c r="J24" s="108" t="str">
        <x:v>Recipe匹配器</x:v>
      </x:c>
      <x:c r="K24" s="108" t="str">
        <x:v>操作员不能手选Recipe；无唯一匹配时锁站</x:v>
      </x:c>
      <x:c r="L24" s="108" t="str">
        <x:v>未开始</x:v>
      </x:c>
      <x:c r="M24" s="108" t="str"/>
    </x:row>
    <x:row r="25" ht="31.5" customHeight="1">
      <x:c r="A25" s="106" t="n">
        <x:v>19</x:v>
      </x:c>
      <x:c r="B25" s="106" t="str">
        <x:v>Electron桌面端</x:v>
      </x:c>
      <x:c r="C25" s="106" t="str">
        <x:v>自动检测</x:v>
      </x:c>
      <x:c r="D25" s="106" t="str">
        <x:v>主责</x:v>
      </x:c>
      <x:c r="E25" s="106" t="str">
        <x:v>✅ 属于我</x:v>
      </x:c>
      <x:c r="F25" s="106" t="str">
        <x:v>P0</x:v>
      </x:c>
      <x:c r="G25" s="106" t="str">
        <x:v>D1-D5</x:v>
      </x:c>
      <x:c r="H25" s="108" t="str">
        <x:v>实现 Recipe 驱动的自动测试序列</x:v>
      </x:c>
      <x:c r="I25" s="108" t="str">
        <x:v>QA研发/小韩</x:v>
      </x:c>
      <x:c r="J25" s="108" t="str">
        <x:v>测试编排引擎</x:v>
      </x:c>
      <x:c r="K25" s="108" t="str">
        <x:v>必检项完整执行且顺序可追溯</x:v>
      </x:c>
      <x:c r="L25" s="108" t="str">
        <x:v>未开始</x:v>
      </x:c>
      <x:c r="M25" s="108" t="str"/>
    </x:row>
    <x:row r="26" ht="31.5" customHeight="1">
      <x:c r="A26" s="106" t="n">
        <x:v>20</x:v>
      </x:c>
      <x:c r="B26" s="106" t="str">
        <x:v>Electron桌面端</x:v>
      </x:c>
      <x:c r="C26" s="106" t="str">
        <x:v>自动判定</x:v>
      </x:c>
      <x:c r="D26" s="106" t="str">
        <x:v>主责</x:v>
      </x:c>
      <x:c r="E26" s="106" t="str">
        <x:v>✅ 属于我</x:v>
      </x:c>
      <x:c r="F26" s="106" t="str">
        <x:v>P0</x:v>
      </x:c>
      <x:c r="G26" s="106" t="str">
        <x:v>D1-D5</x:v>
      </x:c>
      <x:c r="H26" s="108" t="str">
        <x:v>实现确定性判定引擎和 fail-closed 规则</x:v>
      </x:c>
      <x:c r="I26" s="108" t="str">
        <x:v>QA研发/共享引擎</x:v>
      </x:c>
      <x:c r="J26" s="108" t="str">
        <x:v>EOL判定模块</x:v>
      </x:c>
      <x:c r="K26" s="108" t="str">
        <x:v>信息缺失、异常或不确定时不得判PASS</x:v>
      </x:c>
      <x:c r="L26" s="108" t="str">
        <x:v>未开始</x:v>
      </x:c>
      <x:c r="M26" s="108" t="str"/>
    </x:row>
    <x:row r="27" ht="31.5" customHeight="1">
      <x:c r="A27" s="106" t="n">
        <x:v>21</x:v>
      </x:c>
      <x:c r="B27" s="106" t="str">
        <x:v>Electron桌面端</x:v>
      </x:c>
      <x:c r="C27" s="106" t="str">
        <x:v>状态模型</x:v>
      </x:c>
      <x:c r="D27" s="106" t="str">
        <x:v>主责</x:v>
      </x:c>
      <x:c r="E27" s="106" t="str">
        <x:v>✅ 属于我</x:v>
      </x:c>
      <x:c r="F27" s="106" t="str">
        <x:v>P0</x:v>
      </x:c>
      <x:c r="G27" s="106" t="str">
        <x:v>D1-D5</x:v>
      </x:c>
      <x:c r="H27" s="108" t="str">
        <x:v>实现 EOL_PASS、FAIL_PRODUCT、BLOCKED_SYSTEM、PENDING、ABORTED、INVALIDATED</x:v>
      </x:c>
      <x:c r="I27" s="108" t="str">
        <x:v>PC端状态契约</x:v>
      </x:c>
      <x:c r="J27" s="108" t="str">
        <x:v>状态机实现</x:v>
      </x:c>
      <x:c r="K27" s="108" t="str">
        <x:v>状态含义明确，不能用一个PASS代替三段放行</x:v>
      </x:c>
      <x:c r="L27" s="108" t="str">
        <x:v>未开始</x:v>
      </x:c>
      <x:c r="M27" s="108" t="str"/>
    </x:row>
    <x:row r="28" ht="31.5" customHeight="1">
      <x:c r="A28" s="106" t="n">
        <x:v>22</x:v>
      </x:c>
      <x:c r="B28" s="106" t="str">
        <x:v>Electron桌面端</x:v>
      </x:c>
      <x:c r="C28" s="106" t="str">
        <x:v>外部证据</x:v>
      </x:c>
      <x:c r="D28" s="106" t="str">
        <x:v>配合</x:v>
      </x:c>
      <x:c r="E28" s="106" t="str">
        <x:v>❓ 待确认</x:v>
      </x:c>
      <x:c r="F28" s="106" t="str">
        <x:v>P1</x:v>
      </x:c>
      <x:c r="G28" s="106" t="str">
        <x:v>D6-D10</x:v>
      </x:c>
      <x:c r="H28" s="108" t="str">
        <x:v>关联氧浓度、流量等外部测试证据</x:v>
      </x:c>
      <x:c r="I28" s="108" t="str">
        <x:v>工艺/测试/仪器接口</x:v>
      </x:c>
      <x:c r="J28" s="108" t="str">
        <x:v>证据关联模块</x:v>
      </x:c>
      <x:c r="K28" s="108" t="str">
        <x:v>证据缺失时只能PENDING，不能EOL_PASS</x:v>
      </x:c>
      <x:c r="L28" s="108" t="str">
        <x:v>未开始</x:v>
      </x:c>
      <x:c r="M28" s="108" t="str">
        <x:v>确认由谁提供仪器数据接口</x:v>
      </x:c>
    </x:row>
    <x:row r="29" ht="31.5" customHeight="1">
      <x:c r="A29" s="106" t="n">
        <x:v>23</x:v>
      </x:c>
      <x:c r="B29" s="106" t="str">
        <x:v>Electron桌面端</x:v>
      </x:c>
      <x:c r="C29" s="106" t="str">
        <x:v>本地数据库</x:v>
      </x:c>
      <x:c r="D29" s="106" t="str">
        <x:v>主责</x:v>
      </x:c>
      <x:c r="E29" s="106" t="str">
        <x:v>✅ 属于我</x:v>
      </x:c>
      <x:c r="F29" s="106" t="str">
        <x:v>P0</x:v>
      </x:c>
      <x:c r="G29" s="106" t="str">
        <x:v>D1-D5</x:v>
      </x:c>
      <x:c r="H29" s="108" t="str">
        <x:v>设计 SQLite 表、迁移、索引和本地数据生命周期</x:v>
      </x:c>
      <x:c r="I29" s="108" t="str">
        <x:v>PC端数据模型</x:v>
      </x:c>
      <x:c r="J29" s="108" t="str">
        <x:v>SQLite数据库</x:v>
      </x:c>
      <x:c r="K29" s="108" t="str">
        <x:v>支持离线运行、按SN查询和升级迁移</x:v>
      </x:c>
      <x:c r="L29" s="108" t="str">
        <x:v>未开始</x:v>
      </x:c>
      <x:c r="M29" s="108" t="str"/>
    </x:row>
    <x:row r="30" ht="31.5" customHeight="1">
      <x:c r="A30" s="106" t="n">
        <x:v>24</x:v>
      </x:c>
      <x:c r="B30" s="106" t="str">
        <x:v>Electron桌面端</x:v>
      </x:c>
      <x:c r="C30" s="106" t="str">
        <x:v>数据留存</x:v>
      </x:c>
      <x:c r="D30" s="106" t="str">
        <x:v>主责</x:v>
      </x:c>
      <x:c r="E30" s="106" t="str">
        <x:v>✅ 属于我</x:v>
      </x:c>
      <x:c r="F30" s="106" t="str">
        <x:v>P0</x:v>
      </x:c>
      <x:c r="G30" s="106" t="str">
        <x:v>D1-D5</x:v>
      </x:c>
      <x:c r="H30" s="108" t="str">
        <x:v>保存原始帧、解码值、计算值、单位、阈值和Quality</x:v>
      </x:c>
      <x:c r="I30" s="108" t="str">
        <x:v>协议/Recipe契约</x:v>
      </x:c>
      <x:c r="J30" s="108" t="str">
        <x:v>完整测试事实记录</x:v>
      </x:c>
      <x:c r="K30" s="108" t="str">
        <x:v>必填记录完整率100%，原始失败不可覆盖</x:v>
      </x:c>
      <x:c r="L30" s="108" t="str">
        <x:v>未开始</x:v>
      </x:c>
      <x:c r="M30" s="108" t="str"/>
    </x:row>
    <x:row r="31" ht="31.5" customHeight="1">
      <x:c r="A31" s="106" t="n">
        <x:v>25</x:v>
      </x:c>
      <x:c r="B31" s="106" t="str">
        <x:v>Electron桌面端</x:v>
      </x:c>
      <x:c r="C31" s="106" t="str">
        <x:v>原子提交</x:v>
      </x:c>
      <x:c r="D31" s="106" t="str">
        <x:v>主责</x:v>
      </x:c>
      <x:c r="E31" s="106" t="str">
        <x:v>✅ 属于我</x:v>
      </x:c>
      <x:c r="F31" s="106" t="str">
        <x:v>P0</x:v>
      </x:c>
      <x:c r="G31" s="106" t="str">
        <x:v>D1-D5</x:v>
      </x:c>
      <x:c r="H31" s="108" t="str">
        <x:v>最终判定、质量事件和 Outbox 在同一事务提交</x:v>
      </x:c>
      <x:c r="I31" s="108" t="str">
        <x:v>PC端同步协议</x:v>
      </x:c>
      <x:c r="J31" s="108" t="str">
        <x:v>原子完成流程</x:v>
      </x:c>
      <x:c r="K31" s="108" t="str">
        <x:v>事务成功前界面不得显示EOL_PASS</x:v>
      </x:c>
      <x:c r="L31" s="108" t="str">
        <x:v>未开始</x:v>
      </x:c>
      <x:c r="M31" s="108" t="str"/>
    </x:row>
    <x:row r="32" ht="31.5" customHeight="1">
      <x:c r="A32" s="106" t="n">
        <x:v>26</x:v>
      </x:c>
      <x:c r="B32" s="106" t="str">
        <x:v>Electron桌面端</x:v>
      </x:c>
      <x:c r="C32" s="106" t="str">
        <x:v>锁站保护</x:v>
      </x:c>
      <x:c r="D32" s="106" t="str">
        <x:v>主责</x:v>
      </x:c>
      <x:c r="E32" s="106" t="str">
        <x:v>✅ 属于我</x:v>
      </x:c>
      <x:c r="F32" s="106" t="str">
        <x:v>P0</x:v>
      </x:c>
      <x:c r="G32" s="106" t="str">
        <x:v>D1-D5</x:v>
      </x:c>
      <x:c r="H32" s="108" t="str">
        <x:v>数据库失败、磁盘不足、系统时间异常时锁站</x:v>
      </x:c>
      <x:c r="I32" s="108" t="str">
        <x:v>IT/运维</x:v>
      </x:c>
      <x:c r="J32" s="108" t="str">
        <x:v>工位健康检查</x:v>
      </x:c>
      <x:c r="K32" s="108" t="str">
        <x:v>任何关键持久化异常都不能先亮绿</x:v>
      </x:c>
      <x:c r="L32" s="108" t="str">
        <x:v>未开始</x:v>
      </x:c>
      <x:c r="M32" s="108" t="str"/>
    </x:row>
    <x:row r="33" ht="31.5" customHeight="1">
      <x:c r="A33" s="106" t="n">
        <x:v>27</x:v>
      </x:c>
      <x:c r="B33" s="106" t="str">
        <x:v>Electron桌面端</x:v>
      </x:c>
      <x:c r="C33" s="106" t="str">
        <x:v>离线同步</x:v>
      </x:c>
      <x:c r="D33" s="106" t="str">
        <x:v>主责</x:v>
      </x:c>
      <x:c r="E33" s="106" t="str">
        <x:v>✅ 属于我</x:v>
      </x:c>
      <x:c r="F33" s="106" t="str">
        <x:v>P0</x:v>
      </x:c>
      <x:c r="G33" s="106" t="str">
        <x:v>D1-D5</x:v>
      </x:c>
      <x:c r="H33" s="108" t="str">
        <x:v>实现 Outbox、event_id、本地序号和待同步队列</x:v>
      </x:c>
      <x:c r="I33" s="108" t="str">
        <x:v>PC端接收API</x:v>
      </x:c>
      <x:c r="J33" s="108" t="str">
        <x:v>Outbox模块</x:v>
      </x:c>
      <x:c r="K33" s="108" t="str">
        <x:v>断网不丢数据，重启后可继续同步</x:v>
      </x:c>
      <x:c r="L33" s="108" t="str">
        <x:v>未开始</x:v>
      </x:c>
      <x:c r="M33" s="108" t="str"/>
    </x:row>
    <x:row r="34" ht="31.5" customHeight="1">
      <x:c r="A34" s="106" t="n">
        <x:v>28</x:v>
      </x:c>
      <x:c r="B34" s="106" t="str">
        <x:v>Electron桌面端</x:v>
      </x:c>
      <x:c r="C34" s="106" t="str">
        <x:v>离线同步</x:v>
      </x:c>
      <x:c r="D34" s="106" t="str">
        <x:v>主责</x:v>
      </x:c>
      <x:c r="E34" s="106" t="str">
        <x:v>✅ 属于我</x:v>
      </x:c>
      <x:c r="F34" s="106" t="str">
        <x:v>P1</x:v>
      </x:c>
      <x:c r="G34" s="106" t="str">
        <x:v>D6-D10</x:v>
      </x:c>
      <x:c r="H34" s="108" t="str">
        <x:v>实现批量上传、ACK、重试、缺号检查和冲突上报</x:v>
      </x:c>
      <x:c r="I34" s="108" t="str">
        <x:v>PC端接收API</x:v>
      </x:c>
      <x:c r="J34" s="108" t="str">
        <x:v>同步客户端</x:v>
      </x:c>
      <x:c r="K34" s="108" t="str">
        <x:v>重复上传不重复入库；冲突时不可自行覆盖</x:v>
      </x:c>
      <x:c r="L34" s="108" t="str">
        <x:v>未开始</x:v>
      </x:c>
      <x:c r="M34" s="108" t="str"/>
    </x:row>
    <x:row r="35" ht="31.5" customHeight="1">
      <x:c r="A35" s="106" t="n">
        <x:v>29</x:v>
      </x:c>
      <x:c r="B35" s="106" t="str">
        <x:v>Electron桌面端</x:v>
      </x:c>
      <x:c r="C35" s="106" t="str">
        <x:v>操作员界面</x:v>
      </x:c>
      <x:c r="D35" s="106" t="str">
        <x:v>主责</x:v>
      </x:c>
      <x:c r="E35" s="106" t="str">
        <x:v>✅ 属于我</x:v>
      </x:c>
      <x:c r="F35" s="106" t="str">
        <x:v>P0</x:v>
      </x:c>
      <x:c r="G35" s="106" t="str">
        <x:v>D1-D5</x:v>
      </x:c>
      <x:c r="H35" s="108" t="str">
        <x:v>实现设备状态、SN/UID、进度、结果、失败原因和下一步</x:v>
      </x:c>
      <x:c r="I35" s="108" t="str">
        <x:v>生产/QA确认文案</x:v>
      </x:c>
      <x:c r="J35" s="108" t="str">
        <x:v>操作员首页</x:v>
      </x:c>
      <x:c r="K35" s="108" t="str">
        <x:v>操作员无需理解技术细节即可正确操作</x:v>
      </x:c>
      <x:c r="L35" s="108" t="str">
        <x:v>未开始</x:v>
      </x:c>
      <x:c r="M35" s="108" t="str"/>
    </x:row>
    <x:row r="36" ht="31.5" customHeight="1">
      <x:c r="A36" s="106" t="n">
        <x:v>30</x:v>
      </x:c>
      <x:c r="B36" s="106" t="str">
        <x:v>Electron桌面端</x:v>
      </x:c>
      <x:c r="C36" s="106" t="str">
        <x:v>工程界面</x:v>
      </x:c>
      <x:c r="D36" s="106" t="str">
        <x:v>主责</x:v>
      </x:c>
      <x:c r="E36" s="106" t="str">
        <x:v>✅ 属于我</x:v>
      </x:c>
      <x:c r="F36" s="106" t="str">
        <x:v>P1</x:v>
      </x:c>
      <x:c r="G36" s="106" t="str">
        <x:v>D6-D10</x:v>
      </x:c>
      <x:c r="H36" s="108" t="str">
        <x:v>实现实际值、阈值、曲线、原始帧和本机历史查询</x:v>
      </x:c>
      <x:c r="I36" s="108" t="str">
        <x:v>工程/维修</x:v>
      </x:c>
      <x:c r="J36" s="108" t="str">
        <x:v>工程详情页</x:v>
      </x:c>
      <x:c r="K36" s="108" t="str">
        <x:v>支持现场定位通信和测试问题</x:v>
      </x:c>
      <x:c r="L36" s="108" t="str">
        <x:v>未开始</x:v>
      </x:c>
      <x:c r="M36" s="108" t="str"/>
    </x:row>
    <x:row r="37" ht="31.5" customHeight="1">
      <x:c r="A37" s="106" t="n">
        <x:v>31</x:v>
      </x:c>
      <x:c r="B37" s="106" t="str">
        <x:v>Electron桌面端</x:v>
      </x:c>
      <x:c r="C37" s="106" t="str">
        <x:v>界面安全</x:v>
      </x:c>
      <x:c r="D37" s="106" t="str">
        <x:v>主责</x:v>
      </x:c>
      <x:c r="E37" s="106" t="str">
        <x:v>✅ 属于我</x:v>
      </x:c>
      <x:c r="F37" s="106" t="str">
        <x:v>P0</x:v>
      </x:c>
      <x:c r="G37" s="106" t="str">
        <x:v>D1-D5</x:v>
      </x:c>
      <x:c r="H37" s="108" t="str">
        <x:v>拔线、设备重启或会话过期后立即清空身份和绿灯</x:v>
      </x:c>
      <x:c r="I37" s="108" t="str">
        <x:v>设备故障注入</x:v>
      </x:c>
      <x:c r="J37" s="108" t="str">
        <x:v>界面快照策略</x:v>
      </x:c>
      <x:c r="K37" s="108" t="str">
        <x:v>上一台设备结果不会残留到下一台</x:v>
      </x:c>
      <x:c r="L37" s="108" t="str">
        <x:v>未开始</x:v>
      </x:c>
      <x:c r="M37" s="108" t="str"/>
    </x:row>
    <x:row r="38" ht="31.5" customHeight="1">
      <x:c r="A38" s="106" t="n">
        <x:v>32</x:v>
      </x:c>
      <x:c r="B38" s="106" t="str">
        <x:v>Electron桌面端</x:v>
      </x:c>
      <x:c r="C38" s="106" t="str">
        <x:v>桌面测试</x:v>
      </x:c>
      <x:c r="D38" s="106" t="str">
        <x:v>主责</x:v>
      </x:c>
      <x:c r="E38" s="106" t="str">
        <x:v>✅ 属于我</x:v>
      </x:c>
      <x:c r="F38" s="106" t="str">
        <x:v>P0</x:v>
      </x:c>
      <x:c r="G38" s="106" t="str">
        <x:v>D6-D10</x:v>
      </x:c>
      <x:c r="H38" s="108" t="str">
        <x:v>编写Electron关键状态、IPC和断线恢复的自动化测试</x:v>
      </x:c>
      <x:c r="I38" s="108" t="str">
        <x:v>测试/设备模拟器</x:v>
      </x:c>
      <x:c r="J38" s="108" t="str">
        <x:v>桌面端测试集</x:v>
      </x:c>
      <x:c r="K38" s="108" t="str">
        <x:v>覆盖重复扫码、断线清屏、DB失败无PASS和重连恢复</x:v>
      </x:c>
      <x:c r="L38" s="108" t="str">
        <x:v>未开始</x:v>
      </x:c>
      <x:c r="M38" s="108" t="str"/>
    </x:row>
    <x:row r="39" ht="31.5" customHeight="1">
      <x:c r="A39" s="106" t="n">
        <x:v>33</x:v>
      </x:c>
      <x:c r="B39" s="106" t="str">
        <x:v>Electron桌面端</x:v>
      </x:c>
      <x:c r="C39" s="106" t="str">
        <x:v>返修工具</x:v>
      </x:c>
      <x:c r="D39" s="106" t="str">
        <x:v>主责</x:v>
      </x:c>
      <x:c r="E39" s="106" t="str">
        <x:v>✅ 属于我</x:v>
      </x:c>
      <x:c r="F39" s="106" t="str">
        <x:v>P0</x:v>
      </x:c>
      <x:c r="G39" s="106" t="str">
        <x:v>D6-D10</x:v>
      </x:c>
      <x:c r="H39" s="108" t="str">
        <x:v>将终检与清Debug、刷固件、改参数等写入能力物理隔离</x:v>
      </x:c>
      <x:c r="I39" s="108" t="str">
        <x:v>维修/QA/小韩</x:v>
      </x:c>
      <x:c r="J39" s="108" t="str">
        <x:v>独立返修工具</x:v>
      </x:c>
      <x:c r="K39" s="108" t="str">
        <x:v>终检界面不存在设备写入按钮</x:v>
      </x:c>
      <x:c r="L39" s="108" t="str">
        <x:v>未开始</x:v>
      </x:c>
      <x:c r="M39" s="108" t="str"/>
    </x:row>
    <x:row r="40" ht="31.5" customHeight="1">
      <x:c r="A40" s="106" t="n">
        <x:v>34</x:v>
      </x:c>
      <x:c r="B40" s="106" t="str">
        <x:v>Electron桌面端</x:v>
      </x:c>
      <x:c r="C40" s="106" t="str">
        <x:v>返修工具</x:v>
      </x:c>
      <x:c r="D40" s="106" t="str">
        <x:v>主责</x:v>
      </x:c>
      <x:c r="E40" s="106" t="str">
        <x:v>✅ 属于我</x:v>
      </x:c>
      <x:c r="F40" s="106" t="str">
        <x:v>P1</x:v>
      </x:c>
      <x:c r="G40" s="106" t="str">
        <x:v>D6-D10</x:v>
      </x:c>
      <x:c r="H40" s="108" t="str">
        <x:v>校验PC端返修授权并记录实际写入结果</x:v>
      </x:c>
      <x:c r="I40" s="108" t="str">
        <x:v>维修/PC端返修流程</x:v>
      </x:c>
      <x:c r="J40" s="108" t="str">
        <x:v>返修授权执行器</x:v>
      </x:c>
      <x:c r="K40" s="108" t="str">
        <x:v>无授权不能写设备；操作全程可审计</x:v>
      </x:c>
      <x:c r="L40" s="108" t="str">
        <x:v>未开始</x:v>
      </x:c>
      <x:c r="M40" s="108" t="str"/>
    </x:row>
    <x:row r="41" ht="31.5" customHeight="1">
      <x:c r="A41" s="106" t="n">
        <x:v>35</x:v>
      </x:c>
      <x:c r="B41" s="106" t="str">
        <x:v>Electron桌面端</x:v>
      </x:c>
      <x:c r="C41" s="106" t="str">
        <x:v>失效重测</x:v>
      </x:c>
      <x:c r="D41" s="106" t="str">
        <x:v>主责</x:v>
      </x:c>
      <x:c r="E41" s="106" t="str">
        <x:v>✅ 属于我</x:v>
      </x:c>
      <x:c r="F41" s="106" t="str">
        <x:v>P0</x:v>
      </x:c>
      <x:c r="G41" s="106" t="str">
        <x:v>D6-D10</x:v>
      </x:c>
      <x:c r="H41" s="108" t="str">
        <x:v>固件、参数、标定、换件、重绑后使旧PASS失效并完整重测</x:v>
      </x:c>
      <x:c r="I41" s="108" t="str">
        <x:v>PC端失效契约/维修</x:v>
      </x:c>
      <x:c r="J41" s="108" t="str">
        <x:v>失效与重测流程</x:v>
      </x:c>
      <x:c r="K41" s="108" t="str">
        <x:v>返修后完整重测率100%</x:v>
      </x:c>
      <x:c r="L41" s="108" t="str">
        <x:v>未开始</x:v>
      </x:c>
      <x:c r="M41" s="108" t="str"/>
    </x:row>
    <x:row r="42" ht="31.5" customHeight="1">
      <x:c r="A42" s="106" t="n">
        <x:v>36</x:v>
      </x:c>
      <x:c r="B42" s="106" t="str">
        <x:v>Electron桌面端</x:v>
      </x:c>
      <x:c r="C42" s="106" t="str">
        <x:v>工位运维</x:v>
      </x:c>
      <x:c r="D42" s="106" t="str">
        <x:v>主责</x:v>
      </x:c>
      <x:c r="E42" s="106" t="str">
        <x:v>✅ 属于我</x:v>
      </x:c>
      <x:c r="F42" s="106" t="str">
        <x:v>P1</x:v>
      </x:c>
      <x:c r="G42" s="106" t="str">
        <x:v>D6-D10</x:v>
      </x:c>
      <x:c r="H42" s="108" t="str">
        <x:v>实现开机自检、Recipe Hash、版本一致性和本地备份恢复</x:v>
      </x:c>
      <x:c r="I42" s="108" t="str">
        <x:v>IT/PC端配置</x:v>
      </x:c>
      <x:c r="J42" s="108" t="str">
        <x:v>工位自检与恢复工具</x:v>
      </x:c>
      <x:c r="K42" s="108" t="str">
        <x:v>自检失败锁站；备份可恢复验证</x:v>
      </x:c>
      <x:c r="L42" s="108" t="str">
        <x:v>未开始</x:v>
      </x:c>
      <x:c r="M42" s="108" t="str"/>
    </x:row>
    <x:row r="43" ht="31.5" customHeight="1">
      <x:c r="A43" s="106" t="n">
        <x:v>37</x:v>
      </x:c>
      <x:c r="B43" s="106" t="str">
        <x:v>Electron桌面端</x:v>
      </x:c>
      <x:c r="C43" s="106" t="str">
        <x:v>Windows发布</x:v>
      </x:c>
      <x:c r="D43" s="106" t="str">
        <x:v>配合</x:v>
      </x:c>
      <x:c r="E43" s="106" t="str">
        <x:v>❓ 待确认</x:v>
      </x:c>
      <x:c r="F43" s="106" t="str">
        <x:v>P1</x:v>
      </x:c>
      <x:c r="G43" s="106" t="str">
        <x:v>D11-D14</x:v>
      </x:c>
      <x:c r="H43" s="108" t="str">
        <x:v>建立固定运行时、签名安装包、升级健康检查和失败回滚</x:v>
      </x:c>
      <x:c r="I43" s="108" t="str">
        <x:v>IT/证书负责人</x:v>
      </x:c>
      <x:c r="J43" s="108" t="str">
        <x:v>Windows发布包</x:v>
      </x:c>
      <x:c r="K43" s="108" t="str">
        <x:v>干净工位可安装；升级失败可回滚</x:v>
      </x:c>
      <x:c r="L43" s="108" t="str">
        <x:v>未开始</x:v>
      </x:c>
      <x:c r="M43" s="108" t="str">
        <x:v>确认签名证书和IT归属</x:v>
      </x:c>
    </x:row>
    <x:row r="44" ht="31.5" customHeight="1">
      <x:c r="A44" s="106" t="n">
        <x:v>38</x:v>
      </x:c>
      <x:c r="B44" s="106" t="str">
        <x:v>Electron桌面端</x:v>
      </x:c>
      <x:c r="C44" s="106" t="str">
        <x:v>工位复制</x:v>
      </x:c>
      <x:c r="D44" s="106" t="str">
        <x:v>配合</x:v>
      </x:c>
      <x:c r="E44" s="106" t="str">
        <x:v>❓ 待确认</x:v>
      </x:c>
      <x:c r="F44" s="106" t="str">
        <x:v>P1</x:v>
      </x:c>
      <x:c r="G44" s="106" t="str">
        <x:v>D11-D14</x:v>
      </x:c>
      <x:c r="H44" s="108" t="str">
        <x:v>为6+1工位配置独立station_id、凭证和配置核对</x:v>
      </x:c>
      <x:c r="I44" s="108" t="str">
        <x:v>IT/生产/工艺</x:v>
      </x:c>
      <x:c r="J44" s="108" t="str">
        <x:v>工位部署清单</x:v>
      </x:c>
      <x:c r="K44" s="108" t="str">
        <x:v>配置可复制但工位身份和密钥不能复制</x:v>
      </x:c>
      <x:c r="L44" s="108" t="str">
        <x:v>未开始</x:v>
      </x:c>
      <x:c r="M44" s="108" t="str"/>
    </x:row>
    <x:row r="45" ht="31.5" customHeight="1">
      <x:c r="A45" s="106" t="n">
        <x:v>39</x:v>
      </x:c>
      <x:c r="B45" s="106" t="str">
        <x:v>当前项目PC端</x:v>
      </x:c>
      <x:c r="C45" s="106" t="str">
        <x:v>中心数据模型</x:v>
      </x:c>
      <x:c r="D45" s="106" t="str">
        <x:v>主责</x:v>
      </x:c>
      <x:c r="E45" s="106" t="str">
        <x:v>✅ 属于我</x:v>
      </x:c>
      <x:c r="F45" s="106" t="str">
        <x:v>P0</x:v>
      </x:c>
      <x:c r="G45" s="106" t="str">
        <x:v>D1-D5</x:v>
      </x:c>
      <x:c r="H45" s="108" t="str">
        <x:v>新增产品身份、test_run、测量值、证据、Recipe、QA和仓库模型</x:v>
      </x:c>
      <x:c r="I45" s="108" t="str">
        <x:v>QA/仓库/生产</x:v>
      </x:c>
      <x:c r="J45" s="108" t="str">
        <x:v>Prisma/PostgreSQL模型</x:v>
      </x:c>
      <x:c r="K45" s="108" t="str">
        <x:v>三段状态独立，历史记录不可覆盖</x:v>
      </x:c>
      <x:c r="L45" s="108" t="str">
        <x:v>未开始</x:v>
      </x:c>
      <x:c r="M45" s="108" t="str"/>
    </x:row>
    <x:row r="46" ht="31.5" customHeight="1">
      <x:c r="A46" s="106" t="n">
        <x:v>40</x:v>
      </x:c>
      <x:c r="B46" s="106" t="str">
        <x:v>当前项目PC端</x:v>
      </x:c>
      <x:c r="C46" s="106" t="str">
        <x:v>主数据</x:v>
      </x:c>
      <x:c r="D46" s="106" t="str">
        <x:v>主责</x:v>
      </x:c>
      <x:c r="E46" s="106" t="str">
        <x:v>✅ 属于我</x:v>
      </x:c>
      <x:c r="F46" s="106" t="str">
        <x:v>P0</x:v>
      </x:c>
      <x:c r="G46" s="106" t="str">
        <x:v>D1-D5</x:v>
      </x:c>
      <x:c r="H46" s="108" t="str">
        <x:v>实现工单、机型、市场和版本要求管理</x:v>
      </x:c>
      <x:c r="I46" s="108" t="str">
        <x:v>生产/研发/QA</x:v>
      </x:c>
      <x:c r="J46" s="108" t="str">
        <x:v>主数据管理</x:v>
      </x:c>
      <x:c r="K46" s="108" t="str">
        <x:v>Electron可获取唯一、有效的生产配置</x:v>
      </x:c>
      <x:c r="L46" s="108" t="str">
        <x:v>未开始</x:v>
      </x:c>
      <x:c r="M46" s="108" t="str"/>
    </x:row>
    <x:row r="47" ht="31.5" customHeight="1">
      <x:c r="A47" s="106" t="n">
        <x:v>41</x:v>
      </x:c>
      <x:c r="B47" s="106" t="str">
        <x:v>当前项目PC端</x:v>
      </x:c>
      <x:c r="C47" s="106" t="str">
        <x:v>身份管理</x:v>
      </x:c>
      <x:c r="D47" s="106" t="str">
        <x:v>主责</x:v>
      </x:c>
      <x:c r="E47" s="106" t="str">
        <x:v>✅ 属于我</x:v>
      </x:c>
      <x:c r="F47" s="106" t="str">
        <x:v>P0</x:v>
      </x:c>
      <x:c r="G47" s="106" t="str">
        <x:v>D1-D5</x:v>
      </x:c>
      <x:c r="H47" s="108" t="str">
        <x:v>实现SN与完整MCU UID全局唯一绑定和历史记录</x:v>
      </x:c>
      <x:c r="I47" s="108" t="str">
        <x:v>生产/嵌入式</x:v>
      </x:c>
      <x:c r="J47" s="108" t="str">
        <x:v>身份绑定服务</x:v>
      </x:c>
      <x:c r="K47" s="108" t="str">
        <x:v>重复绑定、错误工单和错误型号必须拦截</x:v>
      </x:c>
      <x:c r="L47" s="108" t="str">
        <x:v>未开始</x:v>
      </x:c>
      <x:c r="M47" s="108" t="str"/>
    </x:row>
    <x:row r="48" ht="31.5" customHeight="1">
      <x:c r="A48" s="106" t="n">
        <x:v>42</x:v>
      </x:c>
      <x:c r="B48" s="106" t="str">
        <x:v>当前项目PC端</x:v>
      </x:c>
      <x:c r="C48" s="106" t="str">
        <x:v>离线防重</x:v>
      </x:c>
      <x:c r="D48" s="106" t="str">
        <x:v>主责</x:v>
      </x:c>
      <x:c r="E48" s="106" t="str">
        <x:v>✅ 属于我</x:v>
      </x:c>
      <x:c r="F48" s="106" t="str">
        <x:v>P0</x:v>
      </x:c>
      <x:c r="G48" s="106" t="str">
        <x:v>D1-D5</x:v>
      </x:c>
      <x:c r="H48" s="108" t="str">
        <x:v>实现开测租约或工位签名SN/工单分片</x:v>
      </x:c>
      <x:c r="I48" s="108" t="str">
        <x:v>生产计划/桌面端</x:v>
      </x:c>
      <x:c r="J48" s="108" t="str">
        <x:v>租约与离线授权服务</x:v>
      </x:c>
      <x:c r="K48" s="108" t="str">
        <x:v>多工位离线时不能测试相同授权范围</x:v>
      </x:c>
      <x:c r="L48" s="108" t="str">
        <x:v>未开始</x:v>
      </x:c>
      <x:c r="M48" s="108" t="str"/>
    </x:row>
    <x:row r="49" ht="31.5" customHeight="1">
      <x:c r="A49" s="106" t="n">
        <x:v>43</x:v>
      </x:c>
      <x:c r="B49" s="106" t="str">
        <x:v>当前项目PC端</x:v>
      </x:c>
      <x:c r="C49" s="106" t="str">
        <x:v>Recipe管理</x:v>
      </x:c>
      <x:c r="D49" s="106" t="str">
        <x:v>主责</x:v>
      </x:c>
      <x:c r="E49" s="106" t="str">
        <x:v>✅ 属于我</x:v>
      </x:c>
      <x:c r="F49" s="106" t="str">
        <x:v>P0</x:v>
      </x:c>
      <x:c r="G49" s="106" t="str">
        <x:v>D1-D5</x:v>
      </x:c>
      <x:c r="H49" s="108" t="str">
        <x:v>定义Recipe Schema并实现受控导入和只读查看</x:v>
      </x:c>
      <x:c r="I49" s="108" t="str">
        <x:v>QA/研发</x:v>
      </x:c>
      <x:c r="J49" s="108" t="str">
        <x:v>Recipe管理基础</x:v>
      </x:c>
      <x:c r="K49" s="108" t="str">
        <x:v>非法类型、单位或缺字段不能导入</x:v>
      </x:c>
      <x:c r="L49" s="108" t="str">
        <x:v>未开始</x:v>
      </x:c>
      <x:c r="M49" s="108" t="str"/>
    </x:row>
    <x:row r="50" ht="31.5" customHeight="1">
      <x:c r="A50" s="106" t="n">
        <x:v>44</x:v>
      </x:c>
      <x:c r="B50" s="106" t="str">
        <x:v>当前项目PC端</x:v>
      </x:c>
      <x:c r="C50" s="106" t="str">
        <x:v>Recipe管理</x:v>
      </x:c>
      <x:c r="D50" s="106" t="str">
        <x:v>主责</x:v>
      </x:c>
      <x:c r="E50" s="106" t="str">
        <x:v>✅ 属于我</x:v>
      </x:c>
      <x:c r="F50" s="106" t="str">
        <x:v>P0</x:v>
      </x:c>
      <x:c r="G50" s="106" t="str">
        <x:v>D1-D5</x:v>
      </x:c>
      <x:c r="H50" s="108" t="str">
        <x:v>实现Recipe审核、发布、停用、不可变版本和Hash</x:v>
      </x:c>
      <x:c r="I50" s="108" t="str">
        <x:v>QA/研发审批人</x:v>
      </x:c>
      <x:c r="J50" s="108" t="str">
        <x:v>Recipe发布流程</x:v>
      </x:c>
      <x:c r="K50" s="108" t="str">
        <x:v>发布后内容不可原地修改，审批可追溯</x:v>
      </x:c>
      <x:c r="L50" s="108" t="str">
        <x:v>未开始</x:v>
      </x:c>
      <x:c r="M50" s="108" t="str"/>
    </x:row>
    <x:row r="51" ht="31.5" customHeight="1">
      <x:c r="A51" s="106" t="n">
        <x:v>45</x:v>
      </x:c>
      <x:c r="B51" s="106" t="str">
        <x:v>当前项目PC端</x:v>
      </x:c>
      <x:c r="C51" s="106" t="str">
        <x:v>Recipe分发</x:v>
      </x:c>
      <x:c r="D51" s="106" t="str">
        <x:v>主责</x:v>
      </x:c>
      <x:c r="E51" s="106" t="str">
        <x:v>✅ 属于我</x:v>
      </x:c>
      <x:c r="F51" s="106" t="str">
        <x:v>P1</x:v>
      </x:c>
      <x:c r="G51" s="106" t="str">
        <x:v>D6-D10</x:v>
      </x:c>
      <x:c r="H51" s="108" t="str">
        <x:v>向Electron发布Recipe并管理版本失效</x:v>
      </x:c>
      <x:c r="I51" s="108" t="str">
        <x:v>Electron桌面端</x:v>
      </x:c>
      <x:c r="J51" s="108" t="str">
        <x:v>Recipe分发API</x:v>
      </x:c>
      <x:c r="K51" s="108" t="str">
        <x:v>错误或失效Recipe不能继续用于新测试</x:v>
      </x:c>
      <x:c r="L51" s="108" t="str">
        <x:v>未开始</x:v>
      </x:c>
      <x:c r="M51" s="108" t="str"/>
    </x:row>
    <x:row r="52" ht="31.5" customHeight="1">
      <x:c r="A52" s="106" t="n">
        <x:v>46</x:v>
      </x:c>
      <x:c r="B52" s="106" t="str">
        <x:v>当前项目PC端</x:v>
      </x:c>
      <x:c r="C52" s="106" t="str">
        <x:v>工位接口</x:v>
      </x:c>
      <x:c r="D52" s="106" t="str">
        <x:v>主责</x:v>
      </x:c>
      <x:c r="E52" s="106" t="str">
        <x:v>✅ 属于我</x:v>
      </x:c>
      <x:c r="F52" s="106" t="str">
        <x:v>P0</x:v>
      </x:c>
      <x:c r="G52" s="106" t="str">
        <x:v>D1-D5</x:v>
      </x:c>
      <x:c r="H52" s="108" t="str">
        <x:v>实现工位注册、身份认证和配置下发接口</x:v>
      </x:c>
      <x:c r="I52" s="108" t="str">
        <x:v>IT/Electron</x:v>
      </x:c>
      <x:c r="J52" s="108" t="str">
        <x:v>Station API</x:v>
      </x:c>
      <x:c r="K52" s="108" t="str">
        <x:v>未知工位或无效凭证不能接入</x:v>
      </x:c>
      <x:c r="L52" s="108" t="str">
        <x:v>未开始</x:v>
      </x:c>
      <x:c r="M52" s="108" t="str"/>
    </x:row>
    <x:row r="53" ht="31.5" customHeight="1">
      <x:c r="A53" s="106" t="n">
        <x:v>47</x:v>
      </x:c>
      <x:c r="B53" s="106" t="str">
        <x:v>当前项目PC端</x:v>
      </x:c>
      <x:c r="C53" s="106" t="str">
        <x:v>数据接收</x:v>
      </x:c>
      <x:c r="D53" s="106" t="str">
        <x:v>主责</x:v>
      </x:c>
      <x:c r="E53" s="106" t="str">
        <x:v>✅ 属于我</x:v>
      </x:c>
      <x:c r="F53" s="106" t="str">
        <x:v>P0</x:v>
      </x:c>
      <x:c r="G53" s="106" t="str">
        <x:v>D1-D5</x:v>
      </x:c>
      <x:c r="H53" s="108" t="str">
        <x:v>实现event_id、station_id、local_seq和payload_hash幂等接收</x:v>
      </x:c>
      <x:c r="I53" s="108" t="str">
        <x:v>Electron同步协议</x:v>
      </x:c>
      <x:c r="J53" s="108" t="str">
        <x:v>工位事件接收API</x:v>
      </x:c>
      <x:c r="K53" s="108" t="str">
        <x:v>重复请求不重复入库，不同内容同键必须报冲突</x:v>
      </x:c>
      <x:c r="L53" s="108" t="str">
        <x:v>未开始</x:v>
      </x:c>
      <x:c r="M53" s="108" t="str"/>
    </x:row>
    <x:row r="54" ht="31.5" customHeight="1">
      <x:c r="A54" s="106" t="n">
        <x:v>48</x:v>
      </x:c>
      <x:c r="B54" s="106" t="str">
        <x:v>当前项目PC端</x:v>
      </x:c>
      <x:c r="C54" s="106" t="str">
        <x:v>完整性校验</x:v>
      </x:c>
      <x:c r="D54" s="106" t="str">
        <x:v>主责</x:v>
      </x:c>
      <x:c r="E54" s="106" t="str">
        <x:v>✅ 属于我</x:v>
      </x:c>
      <x:c r="F54" s="106" t="str">
        <x:v>P0</x:v>
      </x:c>
      <x:c r="G54" s="106" t="str">
        <x:v>D6-D10</x:v>
      </x:c>
      <x:c r="H54" s="108" t="str">
        <x:v>校验测试Manifest、事件缺口、Recipe Hash和证据完整性</x:v>
      </x:c>
      <x:c r="I54" s="108" t="str">
        <x:v>Electron/QA</x:v>
      </x:c>
      <x:c r="J54" s="108" t="str">
        <x:v>Manifest校验服务</x:v>
      </x:c>
      <x:c r="K54" s="108" t="str">
        <x:v>数据未完整同步前禁止QA_RELEASED</x:v>
      </x:c>
      <x:c r="L54" s="108" t="str">
        <x:v>未开始</x:v>
      </x:c>
      <x:c r="M54" s="108" t="str"/>
    </x:row>
    <x:row r="55" ht="31.5" customHeight="1">
      <x:c r="A55" s="106" t="n">
        <x:v>49</x:v>
      </x:c>
      <x:c r="B55" s="106" t="str">
        <x:v>当前项目PC端</x:v>
      </x:c>
      <x:c r="C55" s="106" t="str">
        <x:v>同步管理</x:v>
      </x:c>
      <x:c r="D55" s="106" t="str">
        <x:v>主责</x:v>
      </x:c>
      <x:c r="E55" s="106" t="str">
        <x:v>✅ 属于我</x:v>
      </x:c>
      <x:c r="F55" s="106" t="str">
        <x:v>P1</x:v>
      </x:c>
      <x:c r="G55" s="106" t="str">
        <x:v>D6-D10</x:v>
      </x:c>
      <x:c r="H55" s="108" t="str">
        <x:v>提供同步积压、缺号、失败和冲突处理队列</x:v>
      </x:c>
      <x:c r="I55" s="108" t="str">
        <x:v>IT/Electron</x:v>
      </x:c>
      <x:c r="J55" s="108" t="str">
        <x:v>同步运维页面</x:v>
      </x:c>
      <x:c r="K55" s="108" t="str">
        <x:v>异常有明确原因、责任人和处理记录</x:v>
      </x:c>
      <x:c r="L55" s="108" t="str">
        <x:v>未开始</x:v>
      </x:c>
      <x:c r="M55" s="108" t="str"/>
    </x:row>
    <x:row r="56" ht="31.5" customHeight="1">
      <x:c r="A56" s="106" t="n">
        <x:v>50</x:v>
      </x:c>
      <x:c r="B56" s="106" t="str">
        <x:v>当前项目PC端</x:v>
      </x:c>
      <x:c r="C56" s="106" t="str">
        <x:v>中心追溯</x:v>
      </x:c>
      <x:c r="D56" s="106" t="str">
        <x:v>主责</x:v>
      </x:c>
      <x:c r="E56" s="106" t="str">
        <x:v>✅ 属于我</x:v>
      </x:c>
      <x:c r="F56" s="106" t="str">
        <x:v>P0</x:v>
      </x:c>
      <x:c r="G56" s="106" t="str">
        <x:v>D6-D10</x:v>
      </x:c>
      <x:c r="H56" s="108" t="str">
        <x:v>中心保存全部测试事实、NG、返修、重测和失效历史</x:v>
      </x:c>
      <x:c r="I56" s="108" t="str">
        <x:v>Electron数据</x:v>
      </x:c>
      <x:c r="J56" s="108" t="str">
        <x:v>质量追溯库</x:v>
      </x:c>
      <x:c r="K56" s="108" t="str">
        <x:v>原始失败不可被新结果覆盖或删除</x:v>
      </x:c>
      <x:c r="L56" s="108" t="str">
        <x:v>未开始</x:v>
      </x:c>
      <x:c r="M56" s="108" t="str"/>
    </x:row>
    <x:row r="57" ht="31.5" customHeight="1">
      <x:c r="A57" s="106" t="n">
        <x:v>51</x:v>
      </x:c>
      <x:c r="B57" s="106" t="str">
        <x:v>当前项目PC端</x:v>
      </x:c>
      <x:c r="C57" s="106" t="str">
        <x:v>QA界面</x:v>
      </x:c>
      <x:c r="D57" s="106" t="str">
        <x:v>主责</x:v>
      </x:c>
      <x:c r="E57" s="106" t="str">
        <x:v>✅ 属于我</x:v>
      </x:c>
      <x:c r="F57" s="106" t="str">
        <x:v>P0</x:v>
      </x:c>
      <x:c r="G57" s="106" t="str">
        <x:v>D6-D10</x:v>
      </x:c>
      <x:c r="H57" s="108" t="str">
        <x:v>将现有放行页改造成QA待审核、详情和决策中心</x:v>
      </x:c>
      <x:c r="I57" s="108" t="str">
        <x:v>QA</x:v>
      </x:c>
      <x:c r="J57" s="108" t="str">
        <x:v>QA放行中心</x:v>
      </x:c>
      <x:c r="K57" s="108" t="str">
        <x:v>页面同时展示EOL、QA、仓库三条状态轴</x:v>
      </x:c>
      <x:c r="L57" s="108" t="str">
        <x:v>未开始</x:v>
      </x:c>
      <x:c r="M57" s="108" t="str"/>
    </x:row>
    <x:row r="58" ht="31.5" customHeight="1">
      <x:c r="A58" s="106" t="n">
        <x:v>52</x:v>
      </x:c>
      <x:c r="B58" s="106" t="str">
        <x:v>当前项目PC端</x:v>
      </x:c>
      <x:c r="C58" s="106" t="str">
        <x:v>QA服务</x:v>
      </x:c>
      <x:c r="D58" s="106" t="str">
        <x:v>主责</x:v>
      </x:c>
      <x:c r="E58" s="106" t="str">
        <x:v>✅ 属于我</x:v>
      </x:c>
      <x:c r="F58" s="106" t="str">
        <x:v>P0</x:v>
      </x:c>
      <x:c r="G58" s="106" t="str">
        <x:v>D6-D10</x:v>
      </x:c>
      <x:c r="H58" s="108" t="str">
        <x:v>实现QA_RELEASED、QA_REJECTED、QA_REVOKED及状态并发控制</x:v>
      </x:c>
      <x:c r="I58" s="108" t="str">
        <x:v>QA/权限模块</x:v>
      </x:c>
      <x:c r="J58" s="108" t="str">
        <x:v>QA状态服务</x:v>
      </x:c>
      <x:c r="K58" s="108" t="str">
        <x:v>重复审批或并发操作不会产生矛盾状态</x:v>
      </x:c>
      <x:c r="L58" s="108" t="str">
        <x:v>未开始</x:v>
      </x:c>
      <x:c r="M58" s="108" t="str"/>
    </x:row>
    <x:row r="59" ht="31.5" customHeight="1">
      <x:c r="A59" s="106" t="n">
        <x:v>53</x:v>
      </x:c>
      <x:c r="B59" s="106" t="str">
        <x:v>当前项目PC端</x:v>
      </x:c>
      <x:c r="C59" s="106" t="str">
        <x:v>QA互锁</x:v>
      </x:c>
      <x:c r="D59" s="106" t="str">
        <x:v>主责</x:v>
      </x:c>
      <x:c r="E59" s="106" t="str">
        <x:v>✅ 属于我</x:v>
      </x:c>
      <x:c r="F59" s="106" t="str">
        <x:v>P0</x:v>
      </x:c>
      <x:c r="G59" s="106" t="str">
        <x:v>D6-D10</x:v>
      </x:c>
      <x:c r="H59" s="108" t="str">
        <x:v>实现信息缺失、版本错误、证据不全时不可正式放行</x:v>
      </x:c>
      <x:c r="I59" s="108" t="str">
        <x:v>QA/Manifest校验</x:v>
      </x:c>
      <x:c r="J59" s="108" t="str">
        <x:v>QA放行闸门</x:v>
      </x:c>
      <x:c r="K59" s="108" t="str">
        <x:v>未完整测试却QA放行的数量为0</x:v>
      </x:c>
      <x:c r="L59" s="108" t="str">
        <x:v>未开始</x:v>
      </x:c>
      <x:c r="M59" s="108" t="str"/>
    </x:row>
    <x:row r="60" ht="31.5" customHeight="1">
      <x:c r="A60" s="106" t="n">
        <x:v>54</x:v>
      </x:c>
      <x:c r="B60" s="106" t="str">
        <x:v>当前项目PC端</x:v>
      </x:c>
      <x:c r="C60" s="106" t="str">
        <x:v>返修管理</x:v>
      </x:c>
      <x:c r="D60" s="106" t="str">
        <x:v>主责</x:v>
      </x:c>
      <x:c r="E60" s="106" t="str">
        <x:v>✅ 属于我</x:v>
      </x:c>
      <x:c r="F60" s="106" t="str">
        <x:v>P1</x:v>
      </x:c>
      <x:c r="G60" s="106" t="str">
        <x:v>D6-D10</x:v>
      </x:c>
      <x:c r="H60" s="108" t="str">
        <x:v>实现NG流转单、返修单、授权范围和有效期</x:v>
      </x:c>
      <x:c r="I60" s="108" t="str">
        <x:v>维修/QA</x:v>
      </x:c>
      <x:c r="J60" s="108" t="str">
        <x:v>返修管理流程</x:v>
      </x:c>
      <x:c r="K60" s="108" t="str">
        <x:v>无有效返修授权时桌面工具不能写设备</x:v>
      </x:c>
      <x:c r="L60" s="108" t="str">
        <x:v>未开始</x:v>
      </x:c>
      <x:c r="M60" s="108" t="str"/>
    </x:row>
    <x:row r="61" ht="31.5" customHeight="1">
      <x:c r="A61" s="106" t="n">
        <x:v>55</x:v>
      </x:c>
      <x:c r="B61" s="106" t="str">
        <x:v>当前项目PC端</x:v>
      </x:c>
      <x:c r="C61" s="106" t="str">
        <x:v>返修失效</x:v>
      </x:c>
      <x:c r="D61" s="106" t="str">
        <x:v>主责</x:v>
      </x:c>
      <x:c r="E61" s="106" t="str">
        <x:v>✅ 属于我</x:v>
      </x:c>
      <x:c r="F61" s="106" t="str">
        <x:v>P0</x:v>
      </x:c>
      <x:c r="G61" s="106" t="str">
        <x:v>D6-D10</x:v>
      </x:c>
      <x:c r="H61" s="108" t="str">
        <x:v>接收返修动作并失效旧run、QA状态和未消费出库资格</x:v>
      </x:c>
      <x:c r="I61" s="108" t="str">
        <x:v>Electron返修工具/仓库</x:v>
      </x:c>
      <x:c r="J61" s="108" t="str">
        <x:v>质量失效服务</x:v>
      </x:c>
      <x:c r="K61" s="108" t="str">
        <x:v>任何影响指纹的变更都触发完整重测</x:v>
      </x:c>
      <x:c r="L61" s="108" t="str">
        <x:v>未开始</x:v>
      </x:c>
      <x:c r="M61" s="108" t="str"/>
    </x:row>
    <x:row r="62" ht="31.5" customHeight="1">
      <x:c r="A62" s="106" t="n">
        <x:v>56</x:v>
      </x:c>
      <x:c r="B62" s="106" t="str">
        <x:v>当前项目PC端</x:v>
      </x:c>
      <x:c r="C62" s="106" t="str">
        <x:v>仓库数据</x:v>
      </x:c>
      <x:c r="D62" s="106" t="str">
        <x:v>主责</x:v>
      </x:c>
      <x:c r="E62" s="106" t="str">
        <x:v>✅ 属于我</x:v>
      </x:c>
      <x:c r="F62" s="106" t="str">
        <x:v>P0</x:v>
      </x:c>
      <x:c r="G62" s="106" t="str">
        <x:v>D6-D10</x:v>
      </x:c>
      <x:c r="H62" s="108" t="str">
        <x:v>建立逐台SN库存台账，关联当前有效质量状态</x:v>
      </x:c>
      <x:c r="I62" s="108" t="str">
        <x:v>仓库/现有库存模块</x:v>
      </x:c>
      <x:c r="J62" s="108" t="str">
        <x:v>SN库存台账</x:v>
      </x:c>
      <x:c r="K62" s="108" t="str">
        <x:v>不能只按SKU数量判断是否可出库</x:v>
      </x:c>
      <x:c r="L62" s="108" t="str">
        <x:v>未开始</x:v>
      </x:c>
      <x:c r="M62" s="108" t="str"/>
    </x:row>
    <x:row r="63" ht="31.5" customHeight="1">
      <x:c r="A63" s="106" t="n">
        <x:v>57</x:v>
      </x:c>
      <x:c r="B63" s="106" t="str">
        <x:v>当前项目PC端</x:v>
      </x:c>
      <x:c r="C63" s="106" t="str">
        <x:v>仓库互锁</x:v>
      </x:c>
      <x:c r="D63" s="106" t="str">
        <x:v>主责</x:v>
      </x:c>
      <x:c r="E63" s="106" t="str">
        <x:v>✅ 属于我</x:v>
      </x:c>
      <x:c r="F63" s="106" t="str">
        <x:v>P0</x:v>
      </x:c>
      <x:c r="G63" s="106" t="str">
        <x:v>D6-D10</x:v>
      </x:c>
      <x:c r="H63" s="108" t="str">
        <x:v>生成一次性warehouse_authorization出库资格</x:v>
      </x:c>
      <x:c r="I63" s="108" t="str">
        <x:v>QA/仓库</x:v>
      </x:c>
      <x:c r="J63" s="108" t="str">
        <x:v>出库授权服务</x:v>
      </x:c>
      <x:c r="K63" s="108" t="str">
        <x:v>只有有效QA_RELEASED且无冻结时才能生成</x:v>
      </x:c>
      <x:c r="L63" s="108" t="str">
        <x:v>未开始</x:v>
      </x:c>
      <x:c r="M63" s="108" t="str"/>
    </x:row>
    <x:row r="64" ht="31.5" customHeight="1">
      <x:c r="A64" s="106" t="n">
        <x:v>58</x:v>
      </x:c>
      <x:c r="B64" s="106" t="str">
        <x:v>当前项目PC端</x:v>
      </x:c>
      <x:c r="C64" s="106" t="str">
        <x:v>仓库出库</x:v>
      </x:c>
      <x:c r="D64" s="106" t="str">
        <x:v>主责</x:v>
      </x:c>
      <x:c r="E64" s="106" t="str">
        <x:v>✅ 属于我</x:v>
      </x:c>
      <x:c r="F64" s="106" t="str">
        <x:v>P0</x:v>
      </x:c>
      <x:c r="G64" s="106" t="str">
        <x:v>D6-D10</x:v>
      </x:c>
      <x:c r="H64" s="108" t="str">
        <x:v>在同一事务中逐台校验并消费出库资格</x:v>
      </x:c>
      <x:c r="I64" s="108" t="str">
        <x:v>仓库/订单模块</x:v>
      </x:c>
      <x:c r="J64" s="108" t="str">
        <x:v>逐台出库事务</x:v>
      </x:c>
      <x:c r="K64" s="108" t="str">
        <x:v>无授权、已消费或已撤销的SN不能出库</x:v>
      </x:c>
      <x:c r="L64" s="108" t="str">
        <x:v>未开始</x:v>
      </x:c>
      <x:c r="M64" s="108" t="str"/>
    </x:row>
    <x:row r="65" ht="31.5" customHeight="1">
      <x:c r="A65" s="106" t="n">
        <x:v>59</x:v>
      </x:c>
      <x:c r="B65" s="106" t="str">
        <x:v>当前项目PC端</x:v>
      </x:c>
      <x:c r="C65" s="106" t="str">
        <x:v>权限</x:v>
      </x:c>
      <x:c r="D65" s="106" t="str">
        <x:v>主责</x:v>
      </x:c>
      <x:c r="E65" s="106" t="str">
        <x:v>✅ 属于我</x:v>
      </x:c>
      <x:c r="F65" s="106" t="str">
        <x:v>P0</x:v>
      </x:c>
      <x:c r="G65" s="106" t="str">
        <x:v>D6-D10</x:v>
      </x:c>
      <x:c r="H65" s="108" t="str">
        <x:v>增加Recipe、QA、返修、仓库等动作级权限和必要的重新认证</x:v>
      </x:c>
      <x:c r="I65" s="108" t="str">
        <x:v>管理员/QA</x:v>
      </x:c>
      <x:c r="J65" s="108" t="str">
        <x:v>动作级权限模型</x:v>
      </x:c>
      <x:c r="K65" s="108" t="str">
        <x:v>普通操作员不能改阈值、强制PASS或QA放行</x:v>
      </x:c>
      <x:c r="L65" s="108" t="str">
        <x:v>未开始</x:v>
      </x:c>
      <x:c r="M65" s="108" t="str"/>
    </x:row>
    <x:row r="66" ht="31.5" customHeight="1">
      <x:c r="A66" s="106" t="n">
        <x:v>60</x:v>
      </x:c>
      <x:c r="B66" s="106" t="str">
        <x:v>当前项目PC端</x:v>
      </x:c>
      <x:c r="C66" s="106" t="str">
        <x:v>质量审计</x:v>
      </x:c>
      <x:c r="D66" s="106" t="str">
        <x:v>主责</x:v>
      </x:c>
      <x:c r="E66" s="106" t="str">
        <x:v>✅ 属于我</x:v>
      </x:c>
      <x:c r="F66" s="106" t="str">
        <x:v>P0</x:v>
      </x:c>
      <x:c r="G66" s="106" t="str">
        <x:v>D6-D10</x:v>
      </x:c>
      <x:c r="H66" s="108" t="str">
        <x:v>建立与业务事务同步提交的append-only质量审计</x:v>
      </x:c>
      <x:c r="I66" s="108" t="str">
        <x:v>QA/法务或体系</x:v>
      </x:c>
      <x:c r="J66" s="108" t="str">
        <x:v>质量审计日志</x:v>
      </x:c>
      <x:c r="K66" s="108" t="str">
        <x:v>关键状态变化均有操作者、原因和前后状态</x:v>
      </x:c>
      <x:c r="L66" s="108" t="str">
        <x:v>未开始</x:v>
      </x:c>
      <x:c r="M66" s="108" t="str"/>
    </x:row>
    <x:row r="67" ht="31.5" customHeight="1">
      <x:c r="A67" s="106" t="n">
        <x:v>61</x:v>
      </x:c>
      <x:c r="B67" s="106" t="str">
        <x:v>当前项目PC端</x:v>
      </x:c>
      <x:c r="C67" s="106" t="str">
        <x:v>追溯页面</x:v>
      </x:c>
      <x:c r="D67" s="106" t="str">
        <x:v>主责</x:v>
      </x:c>
      <x:c r="E67" s="106" t="str">
        <x:v>✅ 属于我</x:v>
      </x:c>
      <x:c r="F67" s="106" t="str">
        <x:v>P1</x:v>
      </x:c>
      <x:c r="G67" s="106" t="str">
        <x:v>D6-D10</x:v>
      </x:c>
      <x:c r="H67" s="108" t="str">
        <x:v>将现有追溯页接入真实数据，支持SN、UID、run_id和工单查询</x:v>
      </x:c>
      <x:c r="I67" s="108" t="str">
        <x:v>QA/生产/仓库</x:v>
      </x:c>
      <x:c r="J67" s="108" t="str">
        <x:v>中心追溯页面</x:v>
      </x:c>
      <x:c r="K67" s="108" t="str">
        <x:v>按SN查询目标不超过10秒</x:v>
      </x:c>
      <x:c r="L67" s="108" t="str">
        <x:v>未开始</x:v>
      </x:c>
      <x:c r="M67" s="108" t="str"/>
    </x:row>
    <x:row r="68" ht="31.5" customHeight="1">
      <x:c r="A68" s="106" t="n">
        <x:v>62</x:v>
      </x:c>
      <x:c r="B68" s="106" t="str">
        <x:v>当前项目PC端</x:v>
      </x:c>
      <x:c r="C68" s="106" t="str">
        <x:v>报表</x:v>
      </x:c>
      <x:c r="D68" s="106" t="str">
        <x:v>主责</x:v>
      </x:c>
      <x:c r="E68" s="106" t="str">
        <x:v>✅ 属于我</x:v>
      </x:c>
      <x:c r="F68" s="106" t="str">
        <x:v>P1</x:v>
      </x:c>
      <x:c r="G68" s="106" t="str">
        <x:v>D11-D14</x:v>
      </x:c>
      <x:c r="H68" s="108" t="str">
        <x:v>实现日结、NG、返修、重测、检测耗时和通信成功率报表</x:v>
      </x:c>
      <x:c r="I68" s="108" t="str">
        <x:v>生产/QA</x:v>
      </x:c>
      <x:c r="J68" s="108" t="str">
        <x:v>质量运营报表</x:v>
      </x:c>
      <x:c r="K68" s="108" t="str">
        <x:v>指标定义一致且可追溯到原始记录</x:v>
      </x:c>
      <x:c r="L68" s="108" t="str">
        <x:v>未开始</x:v>
      </x:c>
      <x:c r="M68" s="108" t="str"/>
    </x:row>
    <x:row r="69" ht="31.5" customHeight="1">
      <x:c r="A69" s="106" t="n">
        <x:v>63</x:v>
      </x:c>
      <x:c r="B69" s="106" t="str">
        <x:v>当前项目PC端</x:v>
      </x:c>
      <x:c r="C69" s="106" t="str">
        <x:v>工位管理</x:v>
      </x:c>
      <x:c r="D69" s="106" t="str">
        <x:v>主责</x:v>
      </x:c>
      <x:c r="E69" s="106" t="str">
        <x:v>✅ 属于我</x:v>
      </x:c>
      <x:c r="F69" s="106" t="str">
        <x:v>P1</x:v>
      </x:c>
      <x:c r="G69" s="106" t="str">
        <x:v>D11-D14</x:v>
      </x:c>
      <x:c r="H69" s="108" t="str">
        <x:v>展示工位在线状态、版本、Recipe Hash、同步积压和健康状态</x:v>
      </x:c>
      <x:c r="I69" s="108" t="str">
        <x:v>IT/Electron</x:v>
      </x:c>
      <x:c r="J69" s="108" t="str">
        <x:v>工位监控页面</x:v>
      </x:c>
      <x:c r="K69" s="108" t="str">
        <x:v>6+1工位配置和异常一目了然</x:v>
      </x:c>
      <x:c r="L69" s="108" t="str">
        <x:v>未开始</x:v>
      </x:c>
      <x:c r="M69" s="108" t="str"/>
    </x:row>
    <x:row r="70" ht="31.5" customHeight="1">
      <x:c r="A70" s="106" t="n">
        <x:v>64</x:v>
      </x:c>
      <x:c r="B70" s="106" t="str">
        <x:v>当前项目PC端</x:v>
      </x:c>
      <x:c r="C70" s="106" t="str">
        <x:v>Web验收测试</x:v>
      </x:c>
      <x:c r="D70" s="106" t="str">
        <x:v>主责</x:v>
      </x:c>
      <x:c r="E70" s="106" t="str">
        <x:v>✅ 属于我</x:v>
      </x:c>
      <x:c r="F70" s="106" t="str">
        <x:v>P0</x:v>
      </x:c>
      <x:c r="G70" s="106" t="str">
        <x:v>D6-D10</x:v>
      </x:c>
      <x:c r="H70" s="108" t="str">
        <x:v>增加QA放行、追溯、权限、仓库互锁和并发冲突测试</x:v>
      </x:c>
      <x:c r="I70" s="108" t="str">
        <x:v>测试/QA/仓库</x:v>
      </x:c>
      <x:c r="J70" s="108" t="str">
        <x:v>PC端自动化测试集</x:v>
      </x:c>
      <x:c r="K70" s="108" t="str">
        <x:v>覆盖NG禁放、权限拒绝、重复操作和撤销联动</x:v>
      </x:c>
      <x:c r="L70" s="108" t="str">
        <x:v>未开始</x:v>
      </x:c>
      <x:c r="M70" s="108" t="str"/>
    </x:row>
    <x:row r="71" ht="31.5" customHeight="1">
      <x:c r="A71" s="106" t="n">
        <x:v>65</x:v>
      </x:c>
      <x:c r="B71" s="106" t="str">
        <x:v>当前项目PC端</x:v>
      </x:c>
      <x:c r="C71" s="106" t="str">
        <x:v>备份恢复</x:v>
      </x:c>
      <x:c r="D71" s="106" t="str">
        <x:v>配合</x:v>
      </x:c>
      <x:c r="E71" s="106" t="str">
        <x:v>❓ 待确认</x:v>
      </x:c>
      <x:c r="F71" s="106" t="str">
        <x:v>P1</x:v>
      </x:c>
      <x:c r="G71" s="106" t="str">
        <x:v>D11-D14</x:v>
      </x:c>
      <x:c r="H71" s="108" t="str">
        <x:v>制定中心数据库备份、恢复和恢复演练流程</x:v>
      </x:c>
      <x:c r="I71" s="108" t="str">
        <x:v>IT/数据库管理员</x:v>
      </x:c>
      <x:c r="J71" s="108" t="str">
        <x:v>备份恢复方案</x:v>
      </x:c>
      <x:c r="K71" s="108" t="str">
        <x:v>RC1前完成可验证的恢复演练</x:v>
      </x:c>
      <x:c r="L71" s="108" t="str">
        <x:v>未开始</x:v>
      </x:c>
      <x:c r="M71" s="108" t="str">
        <x:v>确认DBA/IT主责边界</x:v>
      </x:c>
    </x:row>
    <x:row r="72" ht="31.5" customHeight="1">
      <x:c r="A72" s="106" t="n">
        <x:v>66</x:v>
      </x:c>
      <x:c r="B72" s="106" t="str">
        <x:v>共享接口</x:v>
      </x:c>
      <x:c r="C72" s="106" t="str">
        <x:v>公共契约</x:v>
      </x:c>
      <x:c r="D72" s="106" t="str">
        <x:v>主责</x:v>
      </x:c>
      <x:c r="E72" s="106" t="str">
        <x:v>✅ 属于我</x:v>
      </x:c>
      <x:c r="F72" s="106" t="str">
        <x:v>P0</x:v>
      </x:c>
      <x:c r="G72" s="106" t="str">
        <x:v>D1-D5</x:v>
      </x:c>
      <x:c r="H72" s="108" t="str">
        <x:v>统一状态枚举、DTO、单位、错误码和Manifest格式</x:v>
      </x:c>
      <x:c r="I72" s="108" t="str">
        <x:v>小韩/QA/PC与Electron</x:v>
      </x:c>
      <x:c r="J72" s="108" t="str">
        <x:v>版本化契约包</x:v>
      </x:c>
      <x:c r="K72" s="108" t="str">
        <x:v>两个系统引用同一份定义，不复制维护</x:v>
      </x:c>
      <x:c r="L72" s="108" t="str">
        <x:v>未开始</x:v>
      </x:c>
      <x:c r="M72" s="108" t="str"/>
    </x:row>
    <x:row r="73" ht="31.5" customHeight="1">
      <x:c r="A73" s="106" t="n">
        <x:v>67</x:v>
      </x:c>
      <x:c r="B73" s="106" t="str">
        <x:v>共享接口</x:v>
      </x:c>
      <x:c r="C73" s="106" t="str">
        <x:v>判定引擎</x:v>
      </x:c>
      <x:c r="D73" s="106" t="str">
        <x:v>主责</x:v>
      </x:c>
      <x:c r="E73" s="106" t="str">
        <x:v>✅ 属于我</x:v>
      </x:c>
      <x:c r="F73" s="106" t="str">
        <x:v>P0</x:v>
      </x:c>
      <x:c r="G73" s="106" t="str">
        <x:v>D1-D5</x:v>
      </x:c>
      <x:c r="H73" s="108" t="str">
        <x:v>建立Electron与PC复核共用的确定性Recipe判定引擎</x:v>
      </x:c>
      <x:c r="I73" s="108" t="str">
        <x:v>QA/研发</x:v>
      </x:c>
      <x:c r="J73" s="108" t="str">
        <x:v>共享判定包</x:v>
      </x:c>
      <x:c r="K73" s="108" t="str">
        <x:v>相同输入、版本和Recipe始终得到相同结论</x:v>
      </x:c>
      <x:c r="L73" s="108" t="str">
        <x:v>未开始</x:v>
      </x:c>
      <x:c r="M73" s="108" t="str"/>
    </x:row>
    <x:row r="74" ht="31.5" customHeight="1">
      <x:c r="A74" s="106" t="n">
        <x:v>68</x:v>
      </x:c>
      <x:c r="B74" s="106" t="str">
        <x:v>共享接口</x:v>
      </x:c>
      <x:c r="C74" s="106" t="str">
        <x:v>配置指纹</x:v>
      </x:c>
      <x:c r="D74" s="106" t="str">
        <x:v>主责</x:v>
      </x:c>
      <x:c r="E74" s="106" t="str">
        <x:v>✅ 属于我</x:v>
      </x:c>
      <x:c r="F74" s="106" t="str">
        <x:v>P0</x:v>
      </x:c>
      <x:c r="G74" s="106" t="str">
        <x:v>D1-D5</x:v>
      </x:c>
      <x:c r="H74" s="108" t="str">
        <x:v>统一SN、UID、工单、软硬件、参数和Debug配置指纹</x:v>
      </x:c>
      <x:c r="I74" s="108" t="str">
        <x:v>小韩/QA/维修</x:v>
      </x:c>
      <x:c r="J74" s="108" t="str">
        <x:v>配置指纹规范</x:v>
      </x:c>
      <x:c r="K74" s="108" t="str">
        <x:v>影响质量的变更均可检测并触发失效</x:v>
      </x:c>
      <x:c r="L74" s="108" t="str">
        <x:v>未开始</x:v>
      </x:c>
      <x:c r="M74" s="108" t="str"/>
    </x:row>
    <x:row r="75" ht="31.5" customHeight="1">
      <x:c r="A75" s="106" t="n">
        <x:v>69</x:v>
      </x:c>
      <x:c r="B75" s="106" t="str">
        <x:v>共享接口</x:v>
      </x:c>
      <x:c r="C75" s="106" t="str">
        <x:v>接口兼容</x:v>
      </x:c>
      <x:c r="D75" s="106" t="str">
        <x:v>主责</x:v>
      </x:c>
      <x:c r="E75" s="106" t="str">
        <x:v>✅ 属于我</x:v>
      </x:c>
      <x:c r="F75" s="106" t="str">
        <x:v>P1</x:v>
      </x:c>
      <x:c r="G75" s="106" t="str">
        <x:v>D6-D10</x:v>
      </x:c>
      <x:c r="H75" s="108" t="str">
        <x:v>定义Electron与PC端API版本、兼容矩阵和升级顺序</x:v>
      </x:c>
      <x:c r="I75" s="108" t="str">
        <x:v>IT/发布负责人</x:v>
      </x:c>
      <x:c r="J75" s="108" t="str">
        <x:v>兼容性矩阵</x:v>
      </x:c>
      <x:c r="K75" s="108" t="str">
        <x:v>新旧版本组合不兼容时明确锁站而非静默失败</x:v>
      </x:c>
      <x:c r="L75" s="108" t="str">
        <x:v>未开始</x:v>
      </x:c>
      <x:c r="M75" s="108" t="str"/>
    </x:row>
    <x:row r="76" ht="31.5" customHeight="1">
      <x:c r="A76" s="106" t="n">
        <x:v>70</x:v>
      </x:c>
      <x:c r="B76" s="106" t="str">
        <x:v>共享接口</x:v>
      </x:c>
      <x:c r="C76" s="106" t="str">
        <x:v>故障注入</x:v>
      </x:c>
      <x:c r="D76" s="106" t="str">
        <x:v>主责</x:v>
      </x:c>
      <x:c r="E76" s="106" t="str">
        <x:v>✅ 属于我</x:v>
      </x:c>
      <x:c r="F76" s="106" t="str">
        <x:v>P0</x:v>
      </x:c>
      <x:c r="G76" s="106" t="str">
        <x:v>D6-D10</x:v>
      </x:c>
      <x:c r="H76" s="108" t="str">
        <x:v>建立设备模拟器和USB、帧、数据库、网络、重启故障测试</x:v>
      </x:c>
      <x:c r="I76" s="108" t="str">
        <x:v>小韩/测试/QA</x:v>
      </x:c>
      <x:c r="J76" s="108" t="str">
        <x:v>自动化故障测试集</x:v>
      </x:c>
      <x:c r="K76" s="108" t="str">
        <x:v>覆盖粘包、半帧、掉线、旧帧、磁盘满和重复同步</x:v>
      </x:c>
      <x:c r="L76" s="108" t="str">
        <x:v>未开始</x:v>
      </x:c>
      <x:c r="M76" s="108" t="str"/>
    </x:row>
    <x:row r="77" ht="31.5" customHeight="1">
      <x:c r="A77" s="106" t="n">
        <x:v>71</x:v>
      </x:c>
      <x:c r="B77" s="106" t="str">
        <x:v>共享接口</x:v>
      </x:c>
      <x:c r="C77" s="106" t="str">
        <x:v>试运行支持</x:v>
      </x:c>
      <x:c r="D77" s="106" t="str">
        <x:v>配合</x:v>
      </x:c>
      <x:c r="E77" s="106" t="str">
        <x:v>❓ 待确认</x:v>
      </x:c>
      <x:c r="F77" s="106" t="str">
        <x:v>P0</x:v>
      </x:c>
      <x:c r="G77" s="106" t="str">
        <x:v>D6-D10</x:v>
      </x:c>
      <x:c r="H77" s="108" t="str">
        <x:v>配合30台Alpha、OQ、100台平行试运行并关闭问题</x:v>
      </x:c>
      <x:c r="I77" s="108" t="str">
        <x:v>QA/生产/工艺/小韩</x:v>
      </x:c>
      <x:c r="J77" s="108" t="str">
        <x:v>试运行问题清单</x:v>
      </x:c>
      <x:c r="K77" s="108" t="str">
        <x:v>错误放行0，阻塞和NG原因可追溯</x:v>
      </x:c>
      <x:c r="L77" s="108" t="str">
        <x:v>未开始</x:v>
      </x:c>
      <x:c r="M77" s="108" t="str">
        <x:v>确认试运行总负责人</x:v>
      </x:c>
    </x:row>
    <x:row r="78" ht="31.5" customHeight="1">
      <x:c r="A78" s="106" t="n">
        <x:v>72</x:v>
      </x:c>
      <x:c r="B78" s="106" t="str">
        <x:v>共享接口</x:v>
      </x:c>
      <x:c r="C78" s="106" t="str">
        <x:v>批量回检</x:v>
      </x:c>
      <x:c r="D78" s="106" t="str">
        <x:v>配合</x:v>
      </x:c>
      <x:c r="E78" s="106" t="str">
        <x:v>❓ 待确认</x:v>
      </x:c>
      <x:c r="F78" s="106" t="str">
        <x:v>P1</x:v>
      </x:c>
      <x:c r="G78" s="106" t="str">
        <x:v>D11-D14</x:v>
      </x:c>
      <x:c r="H78" s="108" t="str">
        <x:v>支持6+1工位和2000台回检的数据汇总与异常处理</x:v>
      </x:c>
      <x:c r="I78" s="108" t="str">
        <x:v>生产/QA/仓库/IT</x:v>
      </x:c>
      <x:c r="J78" s="108" t="str">
        <x:v>批量回检支持方案</x:v>
      </x:c>
      <x:c r="K78" s="108" t="str">
        <x:v>满足实际节拍后再扩大；每日状态可核对</x:v>
      </x:c>
      <x:c r="L78" s="108" t="str">
        <x:v>未开始</x:v>
      </x:c>
      <x:c r="M78" s="108" t="str">
        <x:v>需以pilot节拍作为扩展门禁</x:v>
      </x:c>
    </x:row>
  </x:sheetData>
  <x:mergeCells>
    <x:mergeCell ref="A1:M1"/>
    <x:mergeCell ref="A2:M2"/>
    <x:mergeCell ref="A3:B3"/>
    <x:mergeCell ref="A4:B4"/>
    <x:mergeCell ref="C3:D3"/>
    <x:mergeCell ref="C4:D4"/>
    <x:mergeCell ref="E3:F3"/>
    <x:mergeCell ref="E4:F4"/>
    <x:mergeCell ref="G3:H3"/>
    <x:mergeCell ref="G4:H4"/>
    <x:mergeCell ref="I3:J3"/>
    <x:mergeCell ref="I4:J4"/>
    <x:mergeCell ref="K3:M3"/>
    <x:mergeCell ref="K4:M4"/>
  </x:mergeCells>
  <x:conditionalFormatting sqref="A7:M78">
    <x:cfRule type="expression" dxfId="7" priority="1">
      <x:formula>$E7="❌ 不属于我"</x:formula>
    </x:cfRule>
    <x:cfRule type="expression" dxfId="8" priority="2">
      <x:formula>$E7="❓ 待确认"</x:formula>
    </x:cfRule>
  </x:conditionalFormatting>
  <x:conditionalFormatting sqref="F7:F78">
    <x:cfRule type="containsText" dxfId="9" priority="3" operator="containsText" text="P0"/>
  </x:conditionalFormatting>
  <x:conditionalFormatting sqref="L7:L78">
    <x:cfRule type="containsText" dxfId="10" priority="4" operator="containsText" text="已完成"/>
  </x:conditionalFormatting>
  <x:dataValidations count="5">
    <x:dataValidation type="list" sqref="E7:E78">
      <x:formula1>"✅ 属于我,❌ 不属于我,❓ 待确认"</x:formula1>
    </x:dataValidation>
    <x:dataValidation type="list" sqref="D7:D78">
      <x:formula1>"主责,配合,不属于我"</x:formula1>
    </x:dataValidation>
    <x:dataValidation type="list" sqref="F7:F78">
      <x:formula1>"P0,P1,P2"</x:formula1>
    </x:dataValidation>
    <x:dataValidation type="list" sqref="G7:G78">
      <x:formula1>"D1-D5,D6-D10,D11-D14,持续"</x:formula1>
    </x:dataValidation>
    <x:dataValidation type="list" sqref="L7:L78">
      <x:formula1>"未开始,进行中,已完成,已阻塞,不适用"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4f95c5d3454b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37.5" hidden="0" customWidth="1"/>
    <x:col min="3" max="3" width="15" hidden="0" customWidth="1"/>
    <x:col min="4" max="4" width="42.5" hidden="0" customWidth="1"/>
    <x:col min="5" max="5" width="37.5" hidden="0" customWidth="1"/>
  </x:cols>
  <x:sheetData>
    <x:row r="1" ht="31.5" customHeight="1">
      <x:c r="A1" s="3" t="str">
        <x:v>明确不属于佳伟决定的职责边界</x:v>
      </x:c>
      <x:c r="B1" s="3" t="str">
        <x:v>明确不属于佳伟决定的职责边界</x:v>
      </x:c>
      <x:c r="C1" s="3" t="str">
        <x:v>明确不属于佳伟决定的职责边界</x:v>
      </x:c>
      <x:c r="D1" s="3" t="str">
        <x:v>明确不属于佳伟决定的职责边界</x:v>
      </x:c>
      <x:c r="E1" s="3" t="str">
        <x:v>明确不属于佳伟决定的职责边界</x:v>
      </x:c>
    </x:row>
    <x:row r="2" ht="25.5" customHeight="1">
      <x:c r="A2" s="7" t="str">
        <x:v>佳伟负责把规则、权限和互锁落实到软件中，但不替代嵌入式、研发、QA、工艺、维修和仓库作业务决定。</x:v>
      </x:c>
      <x:c r="B2" s="7" t="str">
        <x:v>佳伟负责把规则、权限和互锁落实到软件中，但不替代嵌入式、研发、QA、工艺、维修和仓库作业务决定。</x:v>
      </x:c>
      <x:c r="C2" s="7" t="str">
        <x:v>佳伟负责把规则、权限和互锁落实到软件中，但不替代嵌入式、研发、QA、工艺、维修和仓库作业务决定。</x:v>
      </x:c>
      <x:c r="D2" s="7" t="str">
        <x:v>佳伟负责把规则、权限和互锁落实到软件中，但不替代嵌入式、研发、QA、工艺、维修和仓库作业务决定。</x:v>
      </x:c>
      <x:c r="E2" s="7" t="str">
        <x:v>佳伟负责把规则、权限和互锁落实到软件中，但不替代嵌入式、研发、QA、工艺、维修和仓库作业务决定。</x:v>
      </x:c>
    </x:row>
    <x:row r="4">
      <x:c r="A4" s="112" t="str">
        <x:v>类别</x:v>
      </x:c>
      <x:c r="B4" s="112" t="str">
        <x:v>不属于佳伟的决定或交付</x:v>
      </x:c>
      <x:c r="C4" s="112" t="str">
        <x:v>责任方</x:v>
      </x:c>
      <x:c r="D4" s="112" t="str">
        <x:v>佳伟负责什么</x:v>
      </x:c>
      <x:c r="E4" s="112" t="str">
        <x:v>不能做什么</x:v>
      </x:c>
    </x:row>
    <x:row r="5" ht="40.5" customHeight="1">
      <x:c r="A5" s="108" t="str">
        <x:v>嵌入式</x:v>
      </x:c>
      <x:c r="B5" s="108" t="str">
        <x:v>嵌入式字段采集和底层安全控制</x:v>
      </x:c>
      <x:c r="C5" s="108" t="str">
        <x:v>小韩</x:v>
      </x:c>
      <x:c r="D5" s="108" t="str">
        <x:v>定义接口、校验字段、完成联调和异常互锁</x:v>
      </x:c>
      <x:c r="E5" s="108" t="str">
        <x:v>不能替代嵌入式负责人修改底层安全策略</x:v>
      </x:c>
    </x:row>
    <x:row r="6" ht="40.5" customHeight="1">
      <x:c r="A6" s="108" t="str">
        <x:v>质量标准</x:v>
      </x:c>
      <x:c r="B6" s="108" t="str">
        <x:v>阈值、必检项和产品合格标准的决定</x:v>
      </x:c>
      <x:c r="C6" s="108" t="str">
        <x:v>研发/QA</x:v>
      </x:c>
      <x:c r="D6" s="108" t="str">
        <x:v>把批准后的标准做成Recipe和系统互锁</x:v>
      </x:c>
      <x:c r="E6" s="108" t="str">
        <x:v>不能自行放宽阈值或删减必检项</x:v>
      </x:c>
    </x:row>
    <x:row r="7" ht="40.5" customHeight="1">
      <x:c r="A7" s="108" t="str">
        <x:v>Recipe审批</x:v>
      </x:c>
      <x:c r="B7" s="108" t="str">
        <x:v>Recipe内容的正式批准和质量签字</x:v>
      </x:c>
      <x:c r="C7" s="108" t="str">
        <x:v>研发/QA</x:v>
      </x:c>
      <x:c r="D7" s="108" t="str">
        <x:v>实现版本、Hash、审批、发布和审计流程</x:v>
      </x:c>
      <x:c r="E7" s="108" t="str">
        <x:v>不能用管理员权限代替QA审批</x:v>
      </x:c>
    </x:row>
    <x:row r="8" ht="40.5" customHeight="1">
      <x:c r="A8" s="108" t="str">
        <x:v>QA放行</x:v>
      </x:c>
      <x:c r="B8" s="108" t="str">
        <x:v>对具体产品执行最终QA_RELEASED的业务决定</x:v>
      </x:c>
      <x:c r="C8" s="108" t="str">
        <x:v>QA</x:v>
      </x:c>
      <x:c r="D8" s="108" t="str">
        <x:v>实现放行闸门、证据展示、权限和审计</x:v>
      </x:c>
      <x:c r="E8" s="108" t="str">
        <x:v>不能代替QA把NG改成PASS</x:v>
      </x:c>
    </x:row>
    <x:row r="9" ht="40.5" customHeight="1">
      <x:c r="A9" s="108" t="str">
        <x:v>工艺测试</x:v>
      </x:c>
      <x:c r="B9" s="108" t="str">
        <x:v>工装设计、仪器校准和MSA</x:v>
      </x:c>
      <x:c r="C9" s="108" t="str">
        <x:v>工艺/测试</x:v>
      </x:c>
      <x:c r="D9" s="108" t="str">
        <x:v>读取校准状态和证据，过期时锁站</x:v>
      </x:c>
      <x:c r="E9" s="108" t="str">
        <x:v>不能自行签发校准合格或MSA结论</x:v>
      </x:c>
    </x:row>
    <x:row r="10" ht="40.5" customHeight="1">
      <x:c r="A10" s="108" t="str">
        <x:v>维修处置</x:v>
      </x:c>
      <x:c r="B10" s="108" t="str">
        <x:v>返修方案、换件范围和产品处置决定</x:v>
      </x:c>
      <x:c r="C10" s="108" t="str">
        <x:v>维修/研发/QA</x:v>
      </x:c>
      <x:c r="D10" s="108" t="str">
        <x:v>实现授权、执行记录、旧结果失效和完整重测</x:v>
      </x:c>
      <x:c r="E10" s="108" t="str">
        <x:v>不能自行决定有质量影响的维修方案</x:v>
      </x:c>
    </x:row>
    <x:row r="11" ht="40.5" customHeight="1">
      <x:c r="A11" s="108" t="str">
        <x:v>仓库业务</x:v>
      </x:c>
      <x:c r="B11" s="108" t="str">
        <x:v>实际拣货、复核和物理出库操作</x:v>
      </x:c>
      <x:c r="C11" s="108" t="str">
        <x:v>仓库</x:v>
      </x:c>
      <x:c r="D11" s="108" t="str">
        <x:v>实现逐台SN出库资格、互锁和记录</x:v>
      </x:c>
      <x:c r="E11" s="108" t="str">
        <x:v>不能用软件放行代替仓库实物复核</x:v>
      </x:c>
    </x:row>
    <x:row r="12" ht="40.5" customHeight="1">
      <x:c r="A12" s="108" t="str">
        <x:v>生产管理</x:v>
      </x:c>
      <x:c r="B12" s="108" t="str">
        <x:v>生产计划、人员排班和回检批次优先级</x:v>
      </x:c>
      <x:c r="C12" s="108" t="str">
        <x:v>生产负责人</x:v>
      </x:c>
      <x:c r="D12" s="108" t="str">
        <x:v>提供系统能力、节拍数据和异常报表</x:v>
      </x:c>
      <x:c r="E12" s="108" t="str">
        <x:v>不能自行改变生产计划或质量门禁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0f02065132e48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3.75" hidden="0" customWidth="1"/>
    <x:col min="3" max="3" width="23.75" hidden="0" customWidth="1"/>
    <x:col min="4" max="4" width="33.75" hidden="0" customWidth="1"/>
    <x:col min="5" max="5" width="31.25" hidden="0" customWidth="1"/>
  </x:cols>
  <x:sheetData>
    <x:row r="1" ht="31.5" customHeight="1">
      <x:c r="A1" s="3" t="str">
        <x:v>系统分工速查｜谁产生什么状态、谁负责什么功能</x:v>
      </x:c>
      <x:c r="B1" s="3" t="str">
        <x:v>系统分工速查｜谁产生什么状态、谁负责什么功能</x:v>
      </x:c>
      <x:c r="C1" s="3" t="str">
        <x:v>系统分工速查｜谁产生什么状态、谁负责什么功能</x:v>
      </x:c>
      <x:c r="D1" s="3" t="str">
        <x:v>系统分工速查｜谁产生什么状态、谁负责什么功能</x:v>
      </x:c>
      <x:c r="E1" s="3" t="str">
        <x:v>系统分工速查｜谁产生什么状态、谁负责什么功能</x:v>
      </x:c>
    </x:row>
    <x:row r="2" ht="25.5" customHeight="1">
      <x:c r="A2" s="7" t="str">
        <x:v>核心原则：Electron只产生EOL检测结论；PC端负责QA正式放行和仓库出库资格。</x:v>
      </x:c>
      <x:c r="B2" s="7" t="str">
        <x:v>核心原则：Electron只产生EOL检测结论；PC端负责QA正式放行和仓库出库资格。</x:v>
      </x:c>
      <x:c r="C2" s="7" t="str">
        <x:v>核心原则：Electron只产生EOL检测结论；PC端负责QA正式放行和仓库出库资格。</x:v>
      </x:c>
      <x:c r="D2" s="7" t="str">
        <x:v>核心原则：Electron只产生EOL检测结论；PC端负责QA正式放行和仓库出库资格。</x:v>
      </x:c>
      <x:c r="E2" s="7" t="str">
        <x:v>核心原则：Electron只产生EOL检测结论；PC端负责QA正式放行和仓库出库资格。</x:v>
      </x:c>
    </x:row>
    <x:row r="4">
      <x:c r="A4" s="115" t="str">
        <x:v>状态轴</x:v>
      </x:c>
      <x:c r="B4" s="115" t="str">
        <x:v>状态示例</x:v>
      </x:c>
      <x:c r="C4" s="115" t="str">
        <x:v>产生系统</x:v>
      </x:c>
      <x:c r="D4" s="115" t="str">
        <x:v>Electron桌面端</x:v>
      </x:c>
      <x:c r="E4" s="115" t="str">
        <x:v>当前项目PC端</x:v>
      </x:c>
    </x:row>
    <x:row r="5" ht="39" customHeight="1">
      <x:c r="A5" s="108" t="str">
        <x:v>EOL检测状态</x:v>
      </x:c>
      <x:c r="B5" s="108" t="str">
        <x:v>EOL_PASS / FAIL_PRODUCT / BLOCKED_SYSTEM / PENDING / ABORTED / INVALIDATED</x:v>
      </x:c>
      <x:c r="C5" s="108" t="str">
        <x:v>Electron桌面端</x:v>
      </x:c>
      <x:c r="D5" s="108" t="str">
        <x:v>产生并保存原始检测结论</x:v>
      </x:c>
      <x:c r="E5" s="108" t="str">
        <x:v>接收、验证、追溯</x:v>
      </x:c>
    </x:row>
    <x:row r="6" ht="39" customHeight="1">
      <x:c r="A6" s="108" t="str">
        <x:v>QA放行状态</x:v>
      </x:c>
      <x:c r="B6" s="108" t="str">
        <x:v>QA_PENDING / QA_RELEASED / QA_REJECTED / QA_REVOKED</x:v>
      </x:c>
      <x:c r="C6" s="108" t="str">
        <x:v>当前项目PC端</x:v>
      </x:c>
      <x:c r="D6" s="108" t="str">
        <x:v>只读显示，不得修改</x:v>
      </x:c>
      <x:c r="E6" s="108" t="str">
        <x:v>QA按权限正式决策</x:v>
      </x:c>
    </x:row>
    <x:row r="7" ht="39" customHeight="1">
      <x:c r="A7" s="108" t="str">
        <x:v>仓库出库状态</x:v>
      </x:c>
      <x:c r="B7" s="108" t="str">
        <x:v>WAREHOUSE_HOLD / WAREHOUSE_ALLOWED / SHIPPED</x:v>
      </x:c>
      <x:c r="C7" s="108" t="str">
        <x:v>当前项目PC端</x:v>
      </x:c>
      <x:c r="D7" s="108" t="str">
        <x:v>只读显示，不得生成</x:v>
      </x:c>
      <x:c r="E7" s="108" t="str">
        <x:v>自动计算、一次性授权、出库消费</x:v>
      </x:c>
    </x:row>
    <x:row r="8">
      <x:c r="A8" s="108"/>
      <x:c r="B8" s="108"/>
      <x:c r="C8" s="108"/>
      <x:c r="D8" s="108"/>
      <x:c r="E8" s="108"/>
    </x:row>
    <x:row r="9">
      <x:c r="A9" s="108"/>
      <x:c r="B9" s="108"/>
      <x:c r="C9" s="108"/>
      <x:c r="D9" s="108"/>
      <x:c r="E9" s="108"/>
    </x:row>
    <x:row r="10">
      <x:c r="A10" s="105" t="str">
        <x:v>功能</x:v>
      </x:c>
      <x:c r="B10" s="105" t="str">
        <x:v>Electron桌面端</x:v>
      </x:c>
      <x:c r="C10" s="105" t="str">
        <x:v>当前项目PC端</x:v>
      </x:c>
      <x:c r="D10" s="105" t="str">
        <x:v>边界说明</x:v>
      </x:c>
      <x:c r="E10" s="108"/>
    </x:row>
    <x:row r="11" ht="31.5" customHeight="1">
      <x:c r="A11" s="108" t="str">
        <x:v>USB设备发现与通信</x:v>
      </x:c>
      <x:c r="B11" s="108" t="str">
        <x:v>主责</x:v>
      </x:c>
      <x:c r="C11" s="108" t="str">
        <x:v>不负责</x:v>
      </x:c>
      <x:c r="D11" s="108" t="str">
        <x:v>PC网页不能直接访问设备</x:v>
      </x:c>
      <x:c r="E11" s="108"/>
    </x:row>
    <x:row r="12" ht="31.5" customHeight="1">
      <x:c r="A12" s="108" t="str">
        <x:v>协议、CRC、会话和重连</x:v>
      </x:c>
      <x:c r="B12" s="108" t="str">
        <x:v>主责</x:v>
      </x:c>
      <x:c r="C12" s="108" t="str">
        <x:v>不负责</x:v>
      </x:c>
      <x:c r="D12" s="108" t="str">
        <x:v>由Electron后台进程持有设备</x:v>
      </x:c>
      <x:c r="E12" s="108"/>
    </x:row>
    <x:row r="13" ht="31.5" customHeight="1">
      <x:c r="A13" s="108" t="str">
        <x:v>扫码与现场防串机</x:v>
      </x:c>
      <x:c r="B13" s="108" t="str">
        <x:v>主责</x:v>
      </x:c>
      <x:c r="C13" s="108" t="str">
        <x:v>提供工单与全局绑定规则</x:v>
      </x:c>
      <x:c r="D13" s="108" t="str">
        <x:v>最终提交前复核UID</x:v>
      </x:c>
      <x:c r="E13" s="108"/>
    </x:row>
    <x:row r="14" ht="31.5" customHeight="1">
      <x:c r="A14" s="108" t="str">
        <x:v>SN/UID全局唯一</x:v>
      </x:c>
      <x:c r="B14" s="108" t="str">
        <x:v>本地检查</x:v>
      </x:c>
      <x:c r="C14" s="108" t="str">
        <x:v>主责</x:v>
      </x:c>
      <x:c r="D14" s="108" t="str">
        <x:v>离线依赖租约或签名分片</x:v>
      </x:c>
      <x:c r="E14" s="108"/>
    </x:row>
    <x:row r="15" ht="31.5" customHeight="1">
      <x:c r="A15" s="108" t="str">
        <x:v>Recipe制定与审批</x:v>
      </x:c>
      <x:c r="B15" s="108" t="str">
        <x:v>不负责</x:v>
      </x:c>
      <x:c r="C15" s="108" t="str">
        <x:v>主责</x:v>
      </x:c>
      <x:c r="D15" s="108" t="str">
        <x:v>标准由研发/QA批准</x:v>
      </x:c>
      <x:c r="E15" s="108"/>
    </x:row>
    <x:row r="16" ht="31.5" customHeight="1">
      <x:c r="A16" s="108" t="str">
        <x:v>Recipe自动匹配与执行</x:v>
      </x:c>
      <x:c r="B16" s="108" t="str">
        <x:v>主责</x:v>
      </x:c>
      <x:c r="C16" s="108" t="str">
        <x:v>发布并复核</x:v>
      </x:c>
      <x:c r="D16" s="108" t="str">
        <x:v>操作员不能手选Recipe</x:v>
      </x:c>
      <x:c r="E16" s="108"/>
    </x:row>
    <x:row r="17" ht="31.5" customHeight="1">
      <x:c r="A17" s="108" t="str">
        <x:v>EOL检测结论</x:v>
      </x:c>
      <x:c r="B17" s="108" t="str">
        <x:v>产生</x:v>
      </x:c>
      <x:c r="C17" s="108" t="str">
        <x:v>接收验证</x:v>
      </x:c>
      <x:c r="D17" s="108" t="str">
        <x:v>EOL_PASS不等于QA放行</x:v>
      </x:c>
      <x:c r="E17" s="108"/>
    </x:row>
    <x:row r="18" ht="31.5" customHeight="1">
      <x:c r="A18" s="108" t="str">
        <x:v>QA正式放行</x:v>
      </x:c>
      <x:c r="B18" s="108" t="str">
        <x:v>只读显示</x:v>
      </x:c>
      <x:c r="C18" s="108" t="str">
        <x:v>主责</x:v>
      </x:c>
      <x:c r="D18" s="108" t="str">
        <x:v>Electron不得产生QA_RELEASED</x:v>
      </x:c>
      <x:c r="E18" s="108"/>
    </x:row>
    <x:row r="19" ht="31.5" customHeight="1">
      <x:c r="A19" s="108" t="str">
        <x:v>仓库出库资格</x:v>
      </x:c>
      <x:c r="B19" s="108" t="str">
        <x:v>只读显示</x:v>
      </x:c>
      <x:c r="C19" s="108" t="str">
        <x:v>主责</x:v>
      </x:c>
      <x:c r="D19" s="108" t="str">
        <x:v>必须逐台SN互锁</x:v>
      </x:c>
      <x:c r="E19" s="108"/>
    </x:row>
    <x:row r="20" ht="31.5" customHeight="1">
      <x:c r="A20" s="108" t="str">
        <x:v>本地离线数据库</x:v>
      </x:c>
      <x:c r="B20" s="108" t="str">
        <x:v>SQLite主责</x:v>
      </x:c>
      <x:c r="C20" s="108" t="str">
        <x:v>不负责</x:v>
      </x:c>
      <x:c r="D20" s="108" t="str">
        <x:v>提交成功后才可亮绿</x:v>
      </x:c>
      <x:c r="E20" s="108"/>
    </x:row>
    <x:row r="21" ht="31.5" customHeight="1">
      <x:c r="A21" s="108" t="str">
        <x:v>中心质量数据库</x:v>
      </x:c>
      <x:c r="B21" s="108" t="str">
        <x:v>不能直连</x:v>
      </x:c>
      <x:c r="C21" s="108" t="str">
        <x:v>PostgreSQL主责</x:v>
      </x:c>
      <x:c r="D21" s="108" t="str">
        <x:v>仅通过受控API同步</x:v>
      </x:c>
      <x:c r="E21" s="108"/>
    </x:row>
    <x:row r="22" ht="31.5" customHeight="1">
      <x:c r="A22" s="108" t="str">
        <x:v>设备写入/返修执行</x:v>
      </x:c>
      <x:c r="B22" s="108" t="str">
        <x:v>独立返修工具</x:v>
      </x:c>
      <x:c r="C22" s="108" t="str">
        <x:v>下发授权</x:v>
      </x:c>
      <x:c r="D22" s="108" t="str">
        <x:v>终检界面无写入按钮</x:v>
      </x:c>
      <x:c r="E22" s="108"/>
    </x:row>
    <x:row r="23" ht="31.5" customHeight="1">
      <x:c r="A23" s="108" t="str">
        <x:v>追溯、审计和报表</x:v>
      </x:c>
      <x:c r="B23" s="108" t="str">
        <x:v>本机查询/上传</x:v>
      </x:c>
      <x:c r="C23" s="108" t="str">
        <x:v>中心主责</x:v>
      </x:c>
      <x:c r="D23" s="108" t="str">
        <x:v>原始失败不可覆盖</x:v>
      </x:c>
      <x:c r="E23" s="108"/>
    </x:row>
    <x:row r="24" ht="31.5" customHeight="1">
      <x:c r="A24" s="108" t="str">
        <x:v>工位升级与健康检查</x:v>
      </x:c>
      <x:c r="B24" s="108" t="str">
        <x:v>执行、自检</x:v>
      </x:c>
      <x:c r="C24" s="108" t="str">
        <x:v>发布、监控</x:v>
      </x:c>
      <x:c r="D24" s="108" t="str">
        <x:v>每个工位使用独立身份</x:v>
      </x:c>
      <x:c r="E24" s="108"/>
    </x:row>
  </x:sheetData>
  <x:mergeCells>
    <x:mergeCell ref="A1:E1"/>
    <x:mergeCell ref="A2:E2"/>
  </x:mergeCells>
  <x:pageMargins left="0.7" right="0.7" top="0.75" bottom="0.75" header="0.3" footer="0.3"/>
  <x:tableParts count="2">
    <x:tablePart xmlns:r="http://schemas.openxmlformats.org/officeDocument/2006/relationships" r:id="Ra9fefb67c59a47ff"/>
    <x:tablePart xmlns:r="http://schemas.openxmlformats.org/officeDocument/2006/relationships" r:id="R23d213ce7adf4e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12.5" hidden="0" customWidth="1"/>
    <x:col min="3" max="3" width="28.75" hidden="0" customWidth="1"/>
    <x:col min="4" max="4" width="31.25" hidden="0" customWidth="1"/>
  </x:cols>
  <x:sheetData>
    <x:row r="1" ht="31.5" customHeight="1">
      <x:c r="A1" s="3" t="str">
        <x:v>项目验收红线与系统责任</x:v>
      </x:c>
      <x:c r="B1" s="3" t="str">
        <x:v>项目验收红线与系统责任</x:v>
      </x:c>
      <x:c r="C1" s="3" t="str">
        <x:v>项目验收红线与系统责任</x:v>
      </x:c>
      <x:c r="D1" s="3" t="str">
        <x:v>项目验收红线与系统责任</x:v>
      </x:c>
    </x:row>
    <x:row r="2" ht="25.5" customHeight="1">
      <x:c r="A2" s="7" t="str">
        <x:v>这些指标是系统验收门禁，不代表佳伟可以自行决定质量标准；质量标准仍由研发/QA批准。</x:v>
      </x:c>
      <x:c r="B2" s="7" t="str">
        <x:v>这些指标是系统验收门禁，不代表佳伟可以自行决定质量标准；质量标准仍由研发/QA批准。</x:v>
      </x:c>
      <x:c r="C2" s="7" t="str">
        <x:v>这些指标是系统验收门禁，不代表佳伟可以自行决定质量标准；质量标准仍由研发/QA批准。</x:v>
      </x:c>
      <x:c r="D2" s="7" t="str">
        <x:v>这些指标是系统验收门禁，不代表佳伟可以自行决定质量标准；质量标准仍由研发/QA批准。</x:v>
      </x:c>
    </x:row>
    <x:row r="4">
      <x:c r="A4" s="112" t="str">
        <x:v>验收指标</x:v>
      </x:c>
      <x:c r="B4" s="112" t="str">
        <x:v>目标</x:v>
      </x:c>
      <x:c r="C4" s="112" t="str">
        <x:v>Electron桌面端责任</x:v>
      </x:c>
      <x:c r="D4" s="112" t="str">
        <x:v>当前项目PC端责任</x:v>
      </x:c>
    </x:row>
    <x:row r="5" ht="31.5" customHeight="1">
      <x:c r="A5" s="108" t="str">
        <x:v>未完整测试却显示EOL_PASS</x:v>
      </x:c>
      <x:c r="B5" s="119" t="str">
        <x:v>0</x:v>
      </x:c>
      <x:c r="C5" s="108" t="str">
        <x:v>Electron桌面端</x:v>
      </x:c>
      <x:c r="D5" s="108" t="str">
        <x:v>PC端复核</x:v>
      </x:c>
    </x:row>
    <x:row r="6" ht="31.5" customHeight="1">
      <x:c r="A6" s="108" t="str">
        <x:v>SN/UID错绑未拦截</x:v>
      </x:c>
      <x:c r="B6" s="119" t="str">
        <x:v>0</x:v>
      </x:c>
      <x:c r="C6" s="108" t="str">
        <x:v>Electron现场互锁</x:v>
      </x:c>
      <x:c r="D6" s="108" t="str">
        <x:v>PC端全局唯一</x:v>
      </x:c>
    </x:row>
    <x:row r="7" ht="31.5" customHeight="1">
      <x:c r="A7" s="108" t="str">
        <x:v>数据库保存失败仍亮绿</x:v>
      </x:c>
      <x:c r="B7" s="119" t="str">
        <x:v>0</x:v>
      </x:c>
      <x:c r="C7" s="108" t="str">
        <x:v>Electron桌面端</x:v>
      </x:c>
      <x:c r="D7" s="108" t="str">
        <x:v>—</x:v>
      </x:c>
    </x:row>
    <x:row r="8" ht="31.5" customHeight="1">
      <x:c r="A8" s="108" t="str">
        <x:v>原始失败记录被覆盖</x:v>
      </x:c>
      <x:c r="B8" s="119" t="str">
        <x:v>0</x:v>
      </x:c>
      <x:c r="C8" s="108" t="str">
        <x:v>Electron本地记录</x:v>
      </x:c>
      <x:c r="D8" s="108" t="str">
        <x:v>PC端中心记录</x:v>
      </x:c>
    </x:row>
    <x:row r="9" ht="31.5" customHeight="1">
      <x:c r="A9" s="108" t="str">
        <x:v>普通工人可改阈值或强制PASS</x:v>
      </x:c>
      <x:c r="B9" s="119" t="str">
        <x:v>0</x:v>
      </x:c>
      <x:c r="C9" s="108" t="str">
        <x:v>Electron界面</x:v>
      </x:c>
      <x:c r="D9" s="108" t="str">
        <x:v>PC端权限</x:v>
      </x:c>
    </x:row>
    <x:row r="10" ht="31.5" customHeight="1">
      <x:c r="A10" s="108" t="str">
        <x:v>必填记录完整率</x:v>
      </x:c>
      <x:c r="B10" s="119" t="str">
        <x:v>100%</x:v>
      </x:c>
      <x:c r="C10" s="108" t="str">
        <x:v>Electron采集</x:v>
      </x:c>
      <x:c r="D10" s="108" t="str">
        <x:v>PC端Manifest校验</x:v>
      </x:c>
    </x:row>
    <x:row r="11" ht="31.5" customHeight="1">
      <x:c r="A11" s="108" t="str">
        <x:v>返修后完整重测率</x:v>
      </x:c>
      <x:c r="B11" s="119" t="str">
        <x:v>100%</x:v>
      </x:c>
      <x:c r="C11" s="108" t="str">
        <x:v>Electron重测</x:v>
      </x:c>
      <x:c r="D11" s="108" t="str">
        <x:v>PC端监督</x:v>
      </x:c>
    </x:row>
    <x:row r="12" ht="31.5" customHeight="1">
      <x:c r="A12" s="108" t="str">
        <x:v>100台平行试运行错误放行</x:v>
      </x:c>
      <x:c r="B12" s="119" t="str">
        <x:v>0</x:v>
      </x:c>
      <x:c r="C12" s="108" t="str">
        <x:v>Electron检测</x:v>
      </x:c>
      <x:c r="D12" s="108" t="str">
        <x:v>PC端QA/仓库互锁</x:v>
      </x:c>
    </x:row>
    <x:row r="13" ht="31.5" customHeight="1">
      <x:c r="A13" s="108" t="str">
        <x:v>通信首次成功率</x:v>
      </x:c>
      <x:c r="B13" s="119" t="str">
        <x:v>≥99%</x:v>
      </x:c>
      <x:c r="C13" s="108" t="str">
        <x:v>Electron桌面端</x:v>
      </x:c>
      <x:c r="D13" s="108" t="str">
        <x:v>PC端统计</x:v>
      </x:c>
    </x:row>
    <x:row r="14" ht="31.5" customHeight="1">
      <x:c r="A14" s="108" t="str">
        <x:v>单台检测目标</x:v>
      </x:c>
      <x:c r="B14" s="119" t="str">
        <x:v>≤3分钟</x:v>
      </x:c>
      <x:c r="C14" s="108" t="str">
        <x:v>Electron桌面端</x:v>
      </x:c>
      <x:c r="D14" s="108" t="str">
        <x:v>PC端统计</x:v>
      </x:c>
    </x:row>
    <x:row r="15" ht="31.5" customHeight="1">
      <x:c r="A15" s="108" t="str">
        <x:v>按SN查询</x:v>
      </x:c>
      <x:c r="B15" s="119" t="str">
        <x:v>≤10秒</x:v>
      </x:c>
      <x:c r="C15" s="108" t="str">
        <x:v>—</x:v>
      </x:c>
      <x:c r="D15" s="108" t="str">
        <x:v>PC端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0bd02397be64314"/>
  </x:tableParts>
</x:worksheet>
</file>